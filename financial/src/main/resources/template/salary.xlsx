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ideawork\native-bbs-system\financial\src\main\resources\template\"/>
    </mc:Choice>
  </mc:AlternateContent>
  <bookViews>
    <workbookView xWindow="0" yWindow="0" windowWidth="38400" windowHeight="17690" activeTab="11"/>
  </bookViews>
  <sheets>
    <sheet name="1月" sheetId="1" r:id="rId1"/>
    <sheet name="2月" sheetId="11" r:id="rId2"/>
    <sheet name="3月" sheetId="12" r:id="rId3"/>
    <sheet name="4月" sheetId="13" r:id="rId4"/>
    <sheet name="5月" sheetId="14" r:id="rId5"/>
    <sheet name="6月" sheetId="15" r:id="rId6"/>
    <sheet name="7月" sheetId="16" r:id="rId7"/>
    <sheet name="8月" sheetId="17" r:id="rId8"/>
    <sheet name="9月" sheetId="18" r:id="rId9"/>
    <sheet name="10月" sheetId="19" r:id="rId10"/>
    <sheet name="11月" sheetId="20" r:id="rId11"/>
    <sheet name="12月" sheetId="21" r:id="rId12"/>
  </sheets>
  <externalReferences>
    <externalReference r:id="rId13"/>
  </externalReferences>
  <definedNames>
    <definedName name="继续教育类型">[1]下拉值!$C$1:$D$1</definedName>
    <definedName name="省份">[1]下拉值!$F$1:$AJ$1</definedName>
  </definedNames>
  <calcPr calcId="162913"/>
</workbook>
</file>

<file path=xl/calcChain.xml><?xml version="1.0" encoding="utf-8"?>
<calcChain xmlns="http://schemas.openxmlformats.org/spreadsheetml/2006/main">
  <c r="H4" i="1" l="1"/>
  <c r="N4" i="1" s="1"/>
  <c r="T4" i="1"/>
  <c r="H5" i="1"/>
  <c r="N5" i="1"/>
  <c r="S5" i="1"/>
  <c r="T5" i="1"/>
  <c r="AA5" i="1"/>
  <c r="AC5" i="1"/>
  <c r="AG5" i="1"/>
  <c r="H4" i="11"/>
  <c r="N4" i="11"/>
  <c r="S4" i="11"/>
  <c r="T4" i="11"/>
  <c r="AA4" i="11"/>
  <c r="AB4" i="11"/>
  <c r="H5" i="11"/>
  <c r="N5" i="11" s="1"/>
  <c r="T5" i="11"/>
  <c r="AB5" i="11"/>
  <c r="H4" i="12"/>
  <c r="N4" i="12"/>
  <c r="S4" i="12"/>
  <c r="T4" i="12"/>
  <c r="AA4" i="12"/>
  <c r="AB4" i="12"/>
  <c r="AC4" i="12"/>
  <c r="AG4" i="12"/>
  <c r="H5" i="12"/>
  <c r="N5" i="12"/>
  <c r="S5" i="12"/>
  <c r="T5" i="12"/>
  <c r="AB5" i="12"/>
  <c r="H4" i="13"/>
  <c r="N4" i="13"/>
  <c r="S4" i="13"/>
  <c r="T4" i="13"/>
  <c r="AA4" i="13"/>
  <c r="AB4" i="13"/>
  <c r="H5" i="13"/>
  <c r="N5" i="13"/>
  <c r="S5" i="13"/>
  <c r="T5" i="13"/>
  <c r="AA5" i="13"/>
  <c r="AB5" i="13"/>
  <c r="H4" i="14"/>
  <c r="N4" i="14"/>
  <c r="S4" i="14"/>
  <c r="T4" i="14"/>
  <c r="AA4" i="14"/>
  <c r="AB4" i="14"/>
  <c r="AC4" i="14"/>
  <c r="AG4" i="14" s="1"/>
  <c r="H5" i="14"/>
  <c r="N5" i="14" s="1"/>
  <c r="S5" i="14" s="1"/>
  <c r="T5" i="14"/>
  <c r="AB5" i="14"/>
  <c r="H4" i="15"/>
  <c r="N4" i="15"/>
  <c r="S4" i="15"/>
  <c r="T4" i="15"/>
  <c r="AA4" i="15"/>
  <c r="AB4" i="15"/>
  <c r="H5" i="15"/>
  <c r="N5" i="15"/>
  <c r="S5" i="15"/>
  <c r="T5" i="15"/>
  <c r="AA5" i="15"/>
  <c r="AB5" i="15"/>
  <c r="AC5" i="15"/>
  <c r="AG5" i="15" s="1"/>
  <c r="H4" i="16"/>
  <c r="N4" i="16"/>
  <c r="S4" i="16" s="1"/>
  <c r="AA4" i="16" s="1"/>
  <c r="T4" i="16"/>
  <c r="AB4" i="16"/>
  <c r="H5" i="16"/>
  <c r="N5" i="16"/>
  <c r="S5" i="16"/>
  <c r="T5" i="16"/>
  <c r="AB5" i="16"/>
  <c r="H4" i="17"/>
  <c r="N4" i="17"/>
  <c r="S4" i="17"/>
  <c r="T4" i="17"/>
  <c r="AA4" i="17"/>
  <c r="AB4" i="17"/>
  <c r="H5" i="17"/>
  <c r="N5" i="17"/>
  <c r="S5" i="17"/>
  <c r="T5" i="17"/>
  <c r="AB5" i="17"/>
  <c r="H4" i="18"/>
  <c r="N4" i="18" s="1"/>
  <c r="S4" i="18" s="1"/>
  <c r="T4" i="18"/>
  <c r="AB4" i="18"/>
  <c r="H5" i="18"/>
  <c r="N5" i="18"/>
  <c r="S5" i="18"/>
  <c r="T5" i="18"/>
  <c r="AA5" i="18" s="1"/>
  <c r="AB5" i="18"/>
  <c r="H4" i="19"/>
  <c r="N4" i="19"/>
  <c r="S4" i="19"/>
  <c r="T4" i="19"/>
  <c r="AA4" i="19" s="1"/>
  <c r="AB4" i="19"/>
  <c r="H5" i="19"/>
  <c r="N5" i="19"/>
  <c r="S5" i="19"/>
  <c r="T5" i="19"/>
  <c r="AB5" i="19"/>
  <c r="H4" i="20"/>
  <c r="N4" i="20" s="1"/>
  <c r="S4" i="20" s="1"/>
  <c r="AA4" i="20" s="1"/>
  <c r="T4" i="20"/>
  <c r="AB4" i="20"/>
  <c r="H5" i="20"/>
  <c r="N5" i="20"/>
  <c r="S5" i="20"/>
  <c r="T5" i="20"/>
  <c r="AA5" i="20"/>
  <c r="AB5" i="20"/>
  <c r="H4" i="21"/>
  <c r="N4" i="21"/>
  <c r="S4" i="21"/>
  <c r="T4" i="21"/>
  <c r="AB4" i="21"/>
  <c r="H5" i="21"/>
  <c r="N5" i="21"/>
  <c r="S5" i="21"/>
  <c r="T5" i="21"/>
  <c r="AB5" i="21"/>
  <c r="S4" i="1" l="1"/>
  <c r="AA4" i="1" s="1"/>
  <c r="AC4" i="1" s="1"/>
  <c r="AG4" i="1" s="1"/>
  <c r="S5" i="11"/>
  <c r="AA5" i="11" s="1"/>
  <c r="AC5" i="11" s="1"/>
  <c r="AG5" i="11" s="1"/>
  <c r="AA5" i="21"/>
  <c r="AC5" i="21" s="1"/>
  <c r="AG5" i="21" s="1"/>
  <c r="AC4" i="11"/>
  <c r="AG4" i="11" s="1"/>
  <c r="AC4" i="20"/>
  <c r="AG4" i="20" s="1"/>
  <c r="AA4" i="18"/>
  <c r="AA5" i="12"/>
  <c r="AC5" i="12" s="1"/>
  <c r="AG5" i="12" s="1"/>
  <c r="AA5" i="19"/>
  <c r="AC5" i="19" s="1"/>
  <c r="AG5" i="19" s="1"/>
  <c r="AC5" i="20"/>
  <c r="AG5" i="20" s="1"/>
  <c r="AC4" i="18"/>
  <c r="AG4" i="18" s="1"/>
  <c r="AA5" i="17"/>
  <c r="AC5" i="17" s="1"/>
  <c r="AG5" i="17" s="1"/>
  <c r="AC4" i="17"/>
  <c r="AG4" i="17" s="1"/>
  <c r="AC4" i="15"/>
  <c r="AG4" i="15" s="1"/>
  <c r="AA4" i="21"/>
  <c r="AC4" i="21" s="1"/>
  <c r="AG4" i="21" s="1"/>
  <c r="AA5" i="16"/>
  <c r="AC5" i="16" s="1"/>
  <c r="AG5" i="16" s="1"/>
  <c r="AC4" i="13"/>
  <c r="AG4" i="13" s="1"/>
  <c r="AA5" i="14"/>
  <c r="AC5" i="14" s="1"/>
  <c r="AG5" i="14" s="1"/>
  <c r="AC4" i="19"/>
  <c r="AG4" i="19" s="1"/>
  <c r="AC5" i="18"/>
  <c r="AG5" i="18" s="1"/>
  <c r="AC5" i="13"/>
  <c r="AG5" i="13" s="1"/>
  <c r="AC4" i="16"/>
  <c r="AG4" i="16" s="1"/>
</calcChain>
</file>

<file path=xl/sharedStrings.xml><?xml version="1.0" encoding="utf-8"?>
<sst xmlns="http://schemas.openxmlformats.org/spreadsheetml/2006/main" count="432" uniqueCount="48">
  <si>
    <t>工资表--1月</t>
  </si>
  <si>
    <t>工号</t>
  </si>
  <si>
    <t>姓名</t>
  </si>
  <si>
    <t>部门</t>
  </si>
  <si>
    <t>身份证号码</t>
  </si>
  <si>
    <t>计薪日</t>
  </si>
  <si>
    <t>出勤天数</t>
  </si>
  <si>
    <t>基本工资</t>
  </si>
  <si>
    <t>出勤工资</t>
  </si>
  <si>
    <t>奖金</t>
  </si>
  <si>
    <t>津贴</t>
  </si>
  <si>
    <t>补贴</t>
  </si>
  <si>
    <t>其他应发1</t>
  </si>
  <si>
    <t>其他应发2</t>
  </si>
  <si>
    <t>应发合计</t>
  </si>
  <si>
    <t>养老保险</t>
  </si>
  <si>
    <t>医疗保险</t>
  </si>
  <si>
    <t>失业保险</t>
  </si>
  <si>
    <t>公积金</t>
  </si>
  <si>
    <t>累计应发</t>
  </si>
  <si>
    <t>累计社保公积金</t>
  </si>
  <si>
    <t>累计子女教育</t>
  </si>
  <si>
    <t>累计住房贷款利息</t>
  </si>
  <si>
    <t>累计住房租金</t>
  </si>
  <si>
    <t>累计赡养父母</t>
  </si>
  <si>
    <t>累计继续教育</t>
  </si>
  <si>
    <t>累计婴幼儿照护费用</t>
  </si>
  <si>
    <t>累计应缴个税</t>
  </si>
  <si>
    <t>累计已缴个税</t>
  </si>
  <si>
    <t>本月应缴个税</t>
  </si>
  <si>
    <t>个人还款</t>
  </si>
  <si>
    <t>其他扣款1</t>
  </si>
  <si>
    <t>其他扣款2</t>
  </si>
  <si>
    <t>实发工资</t>
  </si>
  <si>
    <t>合计</t>
  </si>
  <si>
    <t>工资表--2月</t>
  </si>
  <si>
    <t>工资表-3月</t>
  </si>
  <si>
    <t>工资表-4月</t>
  </si>
  <si>
    <t>工资表-5月</t>
  </si>
  <si>
    <t>工资表-6月</t>
  </si>
  <si>
    <t>工资表-7月</t>
  </si>
  <si>
    <t>工资表-8月</t>
  </si>
  <si>
    <t>工资表-9月</t>
  </si>
  <si>
    <t>工资表-10月</t>
  </si>
  <si>
    <t>工资表-11月</t>
  </si>
  <si>
    <t>工资表-12月</t>
  </si>
  <si>
    <t>模板导入说明：
     1.前三行数据，系统不读取，不需要删除
     2.工资模板导入时只支持第一个sheet数据导入，导入某月份的工资表时，需要将该月份工资表的sheet移动到第一个sheet位置</t>
    <phoneticPr fontId="8" type="noConversion"/>
  </si>
  <si>
    <t>应发工资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</si>
</sst>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$-409]mmmm/yy;@"/>
    <numFmt numFmtId="177" formatCode="0.00_);[Red]\(0.00\)"/>
    <numFmt numFmtId="178" formatCode="0.00_ "/>
  </numFmts>
  <fonts count="10">
    <font>
      <sz val="10"/>
      <name val="Arial"/>
      <family val="2"/>
    </font>
    <font>
      <sz val="12"/>
      <name val="Arial"/>
      <family val="2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Geneva"/>
      <family val="2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color indexed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5" fillId="0" borderId="0">
      <alignment vertical="center"/>
    </xf>
    <xf numFmtId="176" fontId="4" fillId="0" borderId="0"/>
  </cellStyleXfs>
  <cellXfs count="17">
    <xf numFmtId="0" fontId="0" fillId="0" borderId="0" xfId="0" applyNumberFormat="1" applyFont="1" applyFill="1" applyBorder="1" applyAlignment="1"/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/>
    <xf numFmtId="177" fontId="2" fillId="0" borderId="2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/>
    </xf>
    <xf numFmtId="177" fontId="3" fillId="0" borderId="2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/>
    <xf numFmtId="177" fontId="3" fillId="0" borderId="2" xfId="0" applyNumberFormat="1" applyFont="1" applyFill="1" applyBorder="1" applyAlignment="1"/>
    <xf numFmtId="0" fontId="0" fillId="0" borderId="2" xfId="0" applyNumberFormat="1" applyFont="1" applyFill="1" applyBorder="1" applyAlignment="1"/>
    <xf numFmtId="0" fontId="3" fillId="0" borderId="2" xfId="0" applyNumberFormat="1" applyFont="1" applyFill="1" applyBorder="1" applyAlignment="1"/>
    <xf numFmtId="177" fontId="0" fillId="0" borderId="2" xfId="0" applyNumberFormat="1" applyFont="1" applyFill="1" applyBorder="1" applyAlignment="1"/>
    <xf numFmtId="0" fontId="7" fillId="0" borderId="0" xfId="0" applyNumberFormat="1" applyFont="1" applyFill="1" applyBorder="1" applyAlignment="1">
      <alignment horizontal="left" vertical="top"/>
    </xf>
    <xf numFmtId="178" fontId="0" fillId="0" borderId="0" xfId="0" applyNumberFormat="1" applyFont="1" applyFill="1" applyBorder="1" applyAlignment="1"/>
    <xf numFmtId="0" fontId="9" fillId="0" borderId="0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Border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center" vertical="center"/>
    </xf>
  </cellXfs>
  <cellStyles count="3">
    <cellStyle name="常规" xfId="0" builtinId="0"/>
    <cellStyle name="常规 3" xfId="1"/>
    <cellStyle name="样式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CRM/&#19987;&#39033;&#38468;&#21152;&#25187;&#38500;&#20449;&#2468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填写说明"/>
      <sheetName val="首页"/>
      <sheetName val="子女教育支出"/>
      <sheetName val="住房租金支出"/>
      <sheetName val="住房贷款利息支出"/>
      <sheetName val="赡养老人支出"/>
      <sheetName val="继续教育支出"/>
      <sheetName val="下拉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workbookViewId="0">
      <selection sqref="A1:IV1"/>
    </sheetView>
  </sheetViews>
  <sheetFormatPr defaultColWidth="21.7265625" defaultRowHeight="12.5"/>
  <cols>
    <col min="1" max="1" width="8.26953125" customWidth="1"/>
    <col min="2" max="2" width="13.7265625" customWidth="1"/>
    <col min="3" max="3" width="14.81640625" customWidth="1"/>
    <col min="4" max="4" width="19.453125" customWidth="1"/>
    <col min="5" max="5" width="11.453125" customWidth="1"/>
    <col min="6" max="6" width="11.81640625" customWidth="1"/>
    <col min="7" max="7" width="12.54296875" customWidth="1"/>
    <col min="8" max="8" width="14.7265625" customWidth="1"/>
    <col min="9" max="9" width="13.453125" customWidth="1"/>
    <col min="10" max="13" width="12.26953125" customWidth="1"/>
    <col min="14" max="14" width="13.1796875" style="13" customWidth="1"/>
    <col min="15" max="16" width="12.453125" customWidth="1"/>
    <col min="17" max="17" width="12.7265625" customWidth="1"/>
    <col min="18" max="18" width="11.1796875" customWidth="1"/>
    <col min="19" max="19" width="17.54296875" style="13" customWidth="1"/>
    <col min="20" max="24" width="16.7265625" customWidth="1"/>
    <col min="25" max="25" width="17.54296875" customWidth="1"/>
    <col min="26" max="26" width="18.54296875" customWidth="1"/>
    <col min="27" max="28" width="15.1796875" customWidth="1"/>
    <col min="29" max="29" width="14.1796875" customWidth="1"/>
    <col min="30" max="30" width="12.26953125" customWidth="1"/>
    <col min="31" max="33" width="12.54296875" customWidth="1"/>
  </cols>
  <sheetData>
    <row r="1" spans="1:33" ht="47" customHeight="1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/>
    </row>
    <row r="2" spans="1:33" s="1" customFormat="1" ht="21" customHeight="1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spans="1:33" ht="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</row>
    <row r="4" spans="1:33" s="2" customFormat="1" ht="15.5">
      <c r="A4" s="5"/>
      <c r="B4" s="6"/>
      <c r="C4" s="6"/>
      <c r="D4" s="5"/>
      <c r="E4" s="6"/>
      <c r="F4" s="6"/>
      <c r="G4" s="6"/>
      <c r="H4" s="6">
        <f>IFERROR(ROUND(F4/E4*G4,2),0)</f>
        <v>0</v>
      </c>
      <c r="I4" s="6"/>
      <c r="J4" s="6"/>
      <c r="K4" s="6"/>
      <c r="L4" s="6"/>
      <c r="M4" s="6"/>
      <c r="N4" s="6">
        <f>SUM(H4:M4)</f>
        <v>0</v>
      </c>
      <c r="O4" s="6"/>
      <c r="P4" s="6"/>
      <c r="Q4" s="6"/>
      <c r="R4" s="6"/>
      <c r="S4" s="6">
        <f>N4</f>
        <v>0</v>
      </c>
      <c r="T4" s="6">
        <f>SUM(O4:R4)</f>
        <v>0</v>
      </c>
      <c r="U4" s="6"/>
      <c r="V4" s="6"/>
      <c r="W4" s="6"/>
      <c r="X4" s="6"/>
      <c r="Y4" s="6"/>
      <c r="Z4" s="6"/>
      <c r="AA4" s="6">
        <f>ROUND(MAX((S4-5000-T4-U4-V4-W4-X4-Y4-Z4)*{0.03;0.1;0.2;0.25;0.3;0.35;0.45}-{0;2520;16920;31920;52920;85920;181920},0),2)</f>
        <v>0</v>
      </c>
      <c r="AB4" s="6">
        <v>0</v>
      </c>
      <c r="AC4" s="6">
        <f>AA4-AB4</f>
        <v>0</v>
      </c>
      <c r="AD4" s="6"/>
      <c r="AE4" s="6"/>
      <c r="AF4" s="6"/>
      <c r="AG4" s="6">
        <f>N4-O4-P4-Q4-R4-AC4-AD4-AE4-AF4</f>
        <v>0</v>
      </c>
    </row>
    <row r="5" spans="1:33" s="2" customFormat="1" ht="15.5">
      <c r="A5" s="5"/>
      <c r="B5" s="6"/>
      <c r="C5" s="6"/>
      <c r="D5" s="5"/>
      <c r="E5" s="6"/>
      <c r="F5" s="6"/>
      <c r="G5" s="6"/>
      <c r="H5" s="6">
        <f>IFERROR(ROUND(F5/E5*G5,2),0)</f>
        <v>0</v>
      </c>
      <c r="I5" s="6"/>
      <c r="J5" s="6"/>
      <c r="K5" s="6"/>
      <c r="L5" s="6"/>
      <c r="M5" s="6"/>
      <c r="N5" s="6">
        <f>SUM(H5:M5)</f>
        <v>0</v>
      </c>
      <c r="O5" s="6"/>
      <c r="P5" s="6"/>
      <c r="Q5" s="6"/>
      <c r="R5" s="6"/>
      <c r="S5" s="6">
        <f>N5</f>
        <v>0</v>
      </c>
      <c r="T5" s="6">
        <f>SUM(O5:R5)</f>
        <v>0</v>
      </c>
      <c r="U5" s="6"/>
      <c r="V5" s="6"/>
      <c r="W5" s="6"/>
      <c r="X5" s="6"/>
      <c r="Y5" s="6"/>
      <c r="Z5" s="6"/>
      <c r="AA5" s="6">
        <f>ROUND(MAX((S5-5000-T5-U5-V5-W5-X5-Y5-Z5)*{0.03;0.1;0.2;0.25;0.3;0.35;0.45}-{0;2520;16920;31920;52920;85920;181920},0),2)</f>
        <v>0</v>
      </c>
      <c r="AB5" s="6">
        <v>0</v>
      </c>
      <c r="AC5" s="6">
        <f>AA5-AB5</f>
        <v>0</v>
      </c>
      <c r="AD5" s="6"/>
      <c r="AE5" s="6"/>
      <c r="AF5" s="6"/>
      <c r="AG5" s="6">
        <f>N5-O5-P5-Q5-R5-AC5-AD5-AE5-AF5</f>
        <v>0</v>
      </c>
    </row>
    <row r="6" spans="1:33" s="2" customFormat="1" ht="15.5">
      <c r="A6" s="5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s="2" customFormat="1" ht="15.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s="2" customFormat="1" ht="15.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s="2" customFormat="1" ht="15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s="2" customFormat="1" ht="15.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s="2" customFormat="1" ht="15.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s="2" customFormat="1" ht="15.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s="2" customFormat="1" ht="15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s="2" customFormat="1" ht="15.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ht="13">
      <c r="A15" s="7"/>
      <c r="B15" s="8"/>
      <c r="C15" s="8"/>
      <c r="D15" s="8"/>
      <c r="E15" s="6"/>
      <c r="F15" s="6"/>
      <c r="G15" s="8"/>
      <c r="H15" s="6"/>
      <c r="I15" s="6"/>
      <c r="J15" s="8"/>
      <c r="K15" s="8"/>
      <c r="L15" s="8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8"/>
      <c r="AD15" s="8"/>
      <c r="AE15" s="8"/>
      <c r="AF15" s="8"/>
      <c r="AG15" s="6"/>
    </row>
    <row r="16" spans="1:33" ht="13">
      <c r="A16" s="9"/>
      <c r="B16" s="10" t="s">
        <v>34</v>
      </c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11"/>
      <c r="P16" s="11"/>
      <c r="Q16" s="11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6"/>
    </row>
  </sheetData>
  <mergeCells count="2">
    <mergeCell ref="A1:R1"/>
    <mergeCell ref="A2:AG2"/>
  </mergeCells>
  <phoneticPr fontId="8" type="noConversion"/>
  <pageMargins left="0.75" right="0.75" top="1" bottom="1" header="0.5" footer="0.5"/>
  <pageSetup paperSize="9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workbookViewId="0">
      <selection sqref="A1:IV1"/>
    </sheetView>
  </sheetViews>
  <sheetFormatPr defaultColWidth="9.1796875" defaultRowHeight="12.5"/>
  <cols>
    <col min="4" max="4" width="19.26953125" customWidth="1"/>
    <col min="7" max="7" width="13" customWidth="1"/>
    <col min="8" max="8" width="13.1796875" customWidth="1"/>
    <col min="13" max="13" width="9.54296875" customWidth="1"/>
    <col min="14" max="14" width="12.1796875" customWidth="1"/>
    <col min="15" max="15" width="9.7265625" bestFit="1" customWidth="1"/>
    <col min="16" max="16" width="12.81640625" customWidth="1"/>
    <col min="17" max="17" width="12.453125" customWidth="1"/>
    <col min="18" max="18" width="12.54296875" customWidth="1"/>
    <col min="19" max="19" width="11.26953125" customWidth="1"/>
    <col min="20" max="21" width="14.453125" customWidth="1"/>
    <col min="22" max="22" width="17.1796875" customWidth="1"/>
    <col min="23" max="24" width="14.453125" customWidth="1"/>
    <col min="25" max="25" width="13.453125" customWidth="1"/>
    <col min="26" max="26" width="18.81640625" customWidth="1"/>
    <col min="27" max="27" width="13" customWidth="1"/>
    <col min="28" max="28" width="12.81640625" customWidth="1"/>
    <col min="29" max="29" width="12.54296875" customWidth="1"/>
    <col min="30" max="30" width="13.26953125" customWidth="1"/>
    <col min="31" max="31" width="12.453125" customWidth="1"/>
    <col min="32" max="32" width="11.453125" customWidth="1"/>
    <col min="33" max="34" width="12.7265625" customWidth="1"/>
    <col min="35" max="35" width="13.81640625" customWidth="1"/>
    <col min="36" max="36" width="14" customWidth="1"/>
    <col min="40" max="40" width="11.1796875" customWidth="1"/>
  </cols>
  <sheetData>
    <row r="1" spans="1:33" ht="47" customHeight="1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33" s="1" customFormat="1" ht="21" customHeight="1">
      <c r="A2" s="16" t="s">
        <v>35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 spans="1:33" ht="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</row>
    <row r="4" spans="1:33" s="2" customFormat="1" ht="15.5">
      <c r="A4" s="5"/>
      <c r="B4" s="6"/>
      <c r="C4" s="6"/>
      <c r="D4" s="5"/>
      <c r="E4" s="6"/>
      <c r="F4" s="6"/>
      <c r="G4" s="6"/>
      <c r="H4" s="6">
        <f>IFERROR(ROUND(F4/E4*G4,2),0)</f>
        <v>0</v>
      </c>
      <c r="I4" s="6"/>
      <c r="J4" s="6"/>
      <c r="K4" s="6"/>
      <c r="L4" s="6"/>
      <c r="M4" s="6"/>
      <c r="N4" s="6">
        <f>SUM(H4:M4)</f>
        <v>0</v>
      </c>
      <c r="O4" s="6"/>
      <c r="P4" s="6"/>
      <c r="Q4" s="6"/>
      <c r="R4" s="6"/>
      <c r="S4" s="6">
        <f>N4+IFERROR(VLOOKUP(A4,'1月'!A:S,MATCH($S$3,'1月'!$A$3:$S$3,0),0),0)</f>
        <v>0</v>
      </c>
      <c r="T4" s="6">
        <f>SUM(O4:R4)+IFERROR(VLOOKUP(A4,'1月'!A:T,MATCH($T$3,'1月'!$A$3:$T$3,0),0),0)</f>
        <v>0</v>
      </c>
      <c r="U4" s="6"/>
      <c r="V4" s="6"/>
      <c r="W4" s="6"/>
      <c r="X4" s="6"/>
      <c r="Y4" s="6"/>
      <c r="Z4" s="6"/>
      <c r="AA4" s="6">
        <f>ROUND(MAX((S4-2*5000-T4-U4-V4-W4-X4-Y4-Z4)*{0.03;0.1;0.2;0.25;0.3;0.35;0.45}-{0;2520;16920;31920;52920;85920;181920},0),2)</f>
        <v>0</v>
      </c>
      <c r="AB4" s="6">
        <f>IFERROR(VLOOKUP(A4,'1月'!A:AA,MATCH($AA$3,'1月'!$A$3:$AA$3,0),0),0)</f>
        <v>0</v>
      </c>
      <c r="AC4" s="6">
        <f>AA4-AB4</f>
        <v>0</v>
      </c>
      <c r="AD4" s="6"/>
      <c r="AE4" s="6"/>
      <c r="AF4" s="6"/>
      <c r="AG4" s="6">
        <f>N4-O4-P4-Q4-R4-AC4-AD4-AE4-AF4</f>
        <v>0</v>
      </c>
    </row>
    <row r="5" spans="1:33" s="2" customFormat="1" ht="15.5">
      <c r="A5" s="5"/>
      <c r="B5" s="6"/>
      <c r="C5" s="6"/>
      <c r="D5" s="5"/>
      <c r="E5" s="6"/>
      <c r="F5" s="6"/>
      <c r="G5" s="6"/>
      <c r="H5" s="6">
        <f>IFERROR(ROUND(F5/E5*G5,2),0)</f>
        <v>0</v>
      </c>
      <c r="I5" s="6"/>
      <c r="J5" s="6"/>
      <c r="K5" s="6"/>
      <c r="L5" s="6"/>
      <c r="M5" s="6"/>
      <c r="N5" s="6">
        <f>SUM(H5:M5)</f>
        <v>0</v>
      </c>
      <c r="O5" s="6"/>
      <c r="P5" s="6"/>
      <c r="Q5" s="6"/>
      <c r="R5" s="6"/>
      <c r="S5" s="6">
        <f>N5+IFERROR(VLOOKUP(A5,'1月'!A:S,MATCH($S$3,'1月'!$A$3:$S$3,0),0),0)</f>
        <v>0</v>
      </c>
      <c r="T5" s="6">
        <f>SUM(O5:R5)+IFERROR(VLOOKUP(A5,'1月'!A:T,MATCH($T$3,'1月'!$A$3:$T$3,0),0),0)</f>
        <v>0</v>
      </c>
      <c r="U5" s="6"/>
      <c r="V5" s="6"/>
      <c r="W5" s="6"/>
      <c r="X5" s="6"/>
      <c r="Y5" s="6"/>
      <c r="Z5" s="6"/>
      <c r="AA5" s="6">
        <f>ROUND(MAX((S5-2*5000-T5-U5-V5-W5-X5-Z5)*{0.03;0.1;0.2;0.25;0.3;0.35;0.45}-{0;2520;16920;31920;52920;85920;181920},0),2)</f>
        <v>0</v>
      </c>
      <c r="AB5" s="6">
        <f>IFERROR(VLOOKUP(A5,'1月'!A:AA,MATCH($AA$3,'1月'!$A$3:$AA$3,0),0),0)</f>
        <v>0</v>
      </c>
      <c r="AC5" s="6">
        <f>AA5-AB5</f>
        <v>0</v>
      </c>
      <c r="AD5" s="6"/>
      <c r="AE5" s="6"/>
      <c r="AF5" s="6"/>
      <c r="AG5" s="6">
        <f>N5-O5-P5-Q5-R5-AC5-AD5-AE5-AF5</f>
        <v>0</v>
      </c>
    </row>
    <row r="6" spans="1:33" s="2" customFormat="1" ht="15.5">
      <c r="A6" s="5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s="2" customFormat="1" ht="15.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s="2" customFormat="1" ht="15.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s="2" customFormat="1" ht="15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s="2" customFormat="1" ht="15.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s="2" customFormat="1" ht="15.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s="2" customFormat="1" ht="15.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s="2" customFormat="1" ht="15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s="2" customFormat="1" ht="15.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ht="13">
      <c r="A15" s="7"/>
      <c r="B15" s="8"/>
      <c r="C15" s="8"/>
      <c r="D15" s="8"/>
      <c r="E15" s="6"/>
      <c r="F15" s="6"/>
      <c r="G15" s="8"/>
      <c r="H15" s="6"/>
      <c r="I15" s="6"/>
      <c r="J15" s="8"/>
      <c r="K15" s="8"/>
      <c r="L15" s="8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8"/>
      <c r="AE15" s="8"/>
      <c r="AF15" s="8"/>
      <c r="AG15" s="6"/>
    </row>
    <row r="16" spans="1:33" ht="13">
      <c r="A16" s="9"/>
      <c r="B16" s="10" t="s">
        <v>34</v>
      </c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11"/>
      <c r="P16" s="11"/>
      <c r="Q16" s="11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6"/>
    </row>
  </sheetData>
  <mergeCells count="2">
    <mergeCell ref="A1:R1"/>
    <mergeCell ref="A2:AG2"/>
  </mergeCells>
  <phoneticPr fontId="8" type="noConversion"/>
  <pageMargins left="0.7" right="0.7" top="0.75" bottom="0.75" header="0.3" footer="0.3"/>
  <pageSetup paperSize="9" orientation="portrait" horizontalDpi="4294967294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workbookViewId="0">
      <selection sqref="A1:IV1"/>
    </sheetView>
  </sheetViews>
  <sheetFormatPr defaultColWidth="9.1796875" defaultRowHeight="12.5"/>
  <cols>
    <col min="4" max="4" width="12.1796875" customWidth="1"/>
    <col min="7" max="7" width="10" customWidth="1"/>
    <col min="8" max="8" width="11.26953125" customWidth="1"/>
    <col min="12" max="12" width="10" customWidth="1"/>
    <col min="13" max="13" width="11.1796875" customWidth="1"/>
    <col min="14" max="14" width="10.7265625" customWidth="1"/>
    <col min="15" max="15" width="10.453125" customWidth="1"/>
    <col min="19" max="19" width="12.453125" customWidth="1"/>
    <col min="20" max="21" width="13.81640625" customWidth="1"/>
    <col min="22" max="22" width="16" customWidth="1"/>
    <col min="23" max="24" width="13.81640625" customWidth="1"/>
    <col min="25" max="25" width="12.1796875" customWidth="1"/>
    <col min="26" max="26" width="19.26953125" customWidth="1"/>
    <col min="27" max="27" width="13.54296875" customWidth="1"/>
    <col min="28" max="28" width="12.453125" customWidth="1"/>
    <col min="29" max="29" width="12.81640625" customWidth="1"/>
    <col min="30" max="30" width="14.7265625" customWidth="1"/>
    <col min="31" max="31" width="13" customWidth="1"/>
    <col min="32" max="32" width="11.7265625" customWidth="1"/>
    <col min="33" max="33" width="12.1796875" customWidth="1"/>
    <col min="34" max="34" width="11.7265625" customWidth="1"/>
    <col min="35" max="35" width="14.1796875" customWidth="1"/>
    <col min="36" max="36" width="13" customWidth="1"/>
    <col min="40" max="40" width="11.81640625" customWidth="1"/>
  </cols>
  <sheetData>
    <row r="1" spans="1:40" ht="47" customHeight="1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40" s="1" customFormat="1" ht="21" customHeight="1">
      <c r="A2" s="16" t="s">
        <v>36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0" ht="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</row>
    <row r="4" spans="1:40" s="2" customFormat="1" ht="15.5">
      <c r="A4" s="5"/>
      <c r="B4" s="6"/>
      <c r="C4" s="6"/>
      <c r="D4" s="5"/>
      <c r="E4" s="6"/>
      <c r="F4" s="6"/>
      <c r="G4" s="6"/>
      <c r="H4" s="6">
        <f>IFERROR(ROUND(F4/E4*G4,2),0)</f>
        <v>0</v>
      </c>
      <c r="I4" s="6"/>
      <c r="J4" s="6"/>
      <c r="K4" s="6"/>
      <c r="L4" s="6"/>
      <c r="M4" s="6"/>
      <c r="N4" s="6">
        <f>SUM(H4:M4)</f>
        <v>0</v>
      </c>
      <c r="O4" s="6"/>
      <c r="P4" s="6"/>
      <c r="Q4" s="6"/>
      <c r="R4" s="6"/>
      <c r="S4" s="6">
        <f>N4+IFERROR(VLOOKUP(A4,'2月'!A:S,MATCH($S$3,'2月'!$A$3:$S$3,0),0),0)</f>
        <v>0</v>
      </c>
      <c r="T4" s="6">
        <f>SUM(O4:R4)+IFERROR(VLOOKUP(A4,'2月'!A:T,MATCH($T$3,'2月'!$A$3:$T$3,0),0),0)</f>
        <v>0</v>
      </c>
      <c r="U4" s="6"/>
      <c r="V4" s="6"/>
      <c r="W4" s="6"/>
      <c r="X4" s="6"/>
      <c r="Y4" s="6"/>
      <c r="Z4" s="6"/>
      <c r="AA4" s="6">
        <f>ROUND(MAX((S4-3*5000-T4-U4-V4-W4-X4-Y4-Z4)*{0.03;0.1;0.2;0.25;0.3;0.35;0.45}-{0;2520;16920;31920;52920;85920;181920},0),2)</f>
        <v>0</v>
      </c>
      <c r="AB4" s="6">
        <f>IFERROR(VLOOKUP(A4,'2月'!A:AA,MATCH($AA$3,'2月'!$A$3:$AA$3,0),0),0)</f>
        <v>0</v>
      </c>
      <c r="AC4" s="6">
        <f>AA4-AB4</f>
        <v>0</v>
      </c>
      <c r="AD4" s="6"/>
      <c r="AE4" s="6"/>
      <c r="AF4" s="6"/>
      <c r="AG4" s="6">
        <f>N4-O4-P4-Q4-R4-AC4-AD4-AE4-AF4</f>
        <v>0</v>
      </c>
    </row>
    <row r="5" spans="1:40" s="2" customFormat="1" ht="15.5">
      <c r="A5" s="5"/>
      <c r="B5" s="6"/>
      <c r="C5" s="6"/>
      <c r="D5" s="5"/>
      <c r="E5" s="6"/>
      <c r="F5" s="6"/>
      <c r="G5" s="6"/>
      <c r="H5" s="6">
        <f>IFERROR(ROUND(F5/E5*G5,2),0)</f>
        <v>0</v>
      </c>
      <c r="I5" s="6"/>
      <c r="J5" s="6"/>
      <c r="K5" s="6"/>
      <c r="L5" s="6"/>
      <c r="M5" s="6"/>
      <c r="N5" s="6">
        <f>SUM(H5:M5)</f>
        <v>0</v>
      </c>
      <c r="O5" s="6"/>
      <c r="P5" s="6"/>
      <c r="Q5" s="6"/>
      <c r="R5" s="6"/>
      <c r="S5" s="6">
        <f>N5+IFERROR(VLOOKUP(A5,'2月'!A:S,MATCH($S$3,'2月'!$A$3:$S$3,0),0),0)</f>
        <v>0</v>
      </c>
      <c r="T5" s="6">
        <f>SUM(O5:R5)+IFERROR(VLOOKUP(A5,'2月'!A:T,MATCH($T$3,'2月'!$A$3:$T$3,0),0),0)</f>
        <v>0</v>
      </c>
      <c r="U5" s="6"/>
      <c r="V5" s="6"/>
      <c r="W5" s="6"/>
      <c r="X5" s="6"/>
      <c r="Y5" s="6"/>
      <c r="Z5" s="6"/>
      <c r="AA5" s="6">
        <f>ROUND(MAX((S5-3*5000-T5-U5-V5-W5-X5-Y5-Y5-Z5)*{0.03;0.1;0.2;0.25;0.3;0.35;0.45}-{0;2520;16920;31920;52920;85920;181920},0),2)</f>
        <v>0</v>
      </c>
      <c r="AB5" s="6">
        <f>IFERROR(VLOOKUP(A5,'2月'!A:AA,MATCH($AA$3,'2月'!$A$3:$AA$3,0),0),0)</f>
        <v>0</v>
      </c>
      <c r="AC5" s="6">
        <f>AA5-AB5</f>
        <v>0</v>
      </c>
      <c r="AD5" s="6"/>
      <c r="AE5" s="6"/>
      <c r="AF5" s="6"/>
      <c r="AG5" s="6">
        <f>N5-O5-P5-Q5-R5-AC5-AD5-AE5-AF5</f>
        <v>0</v>
      </c>
    </row>
    <row r="6" spans="1:40" s="2" customFormat="1" ht="15.5">
      <c r="A6" s="5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40" s="2" customFormat="1" ht="15.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40" s="2" customFormat="1" ht="15.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40" s="2" customFormat="1" ht="15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40" s="2" customFormat="1" ht="15.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40" s="2" customFormat="1" ht="15.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40" s="2" customFormat="1" ht="15.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40" s="2" customFormat="1" ht="15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40" s="2" customFormat="1" ht="15.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40" ht="13">
      <c r="A15" s="7"/>
      <c r="B15" s="8"/>
      <c r="C15" s="8"/>
      <c r="D15" s="8"/>
      <c r="E15" s="6"/>
      <c r="F15" s="6"/>
      <c r="G15" s="8"/>
      <c r="H15" s="6"/>
      <c r="I15" s="6"/>
      <c r="J15" s="8"/>
      <c r="K15" s="8"/>
      <c r="L15" s="8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8"/>
      <c r="AE15" s="8"/>
      <c r="AF15" s="8"/>
      <c r="AG15" s="6"/>
    </row>
    <row r="16" spans="1:40" ht="13">
      <c r="A16" s="9"/>
      <c r="B16" s="10" t="s">
        <v>34</v>
      </c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11"/>
      <c r="P16" s="11"/>
      <c r="Q16" s="11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6"/>
    </row>
  </sheetData>
  <mergeCells count="2">
    <mergeCell ref="A1:R1"/>
    <mergeCell ref="A2:AN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workbookViewId="0">
      <selection sqref="A1:IV1"/>
    </sheetView>
  </sheetViews>
  <sheetFormatPr defaultColWidth="9.1796875" defaultRowHeight="12.5"/>
  <cols>
    <col min="4" max="4" width="18.81640625" customWidth="1"/>
    <col min="7" max="7" width="11.453125" customWidth="1"/>
    <col min="8" max="8" width="10.54296875" customWidth="1"/>
    <col min="12" max="12" width="10.453125" customWidth="1"/>
    <col min="13" max="13" width="10.81640625" customWidth="1"/>
    <col min="14" max="14" width="11.453125" customWidth="1"/>
    <col min="19" max="19" width="10.7265625" customWidth="1"/>
    <col min="20" max="20" width="16.26953125" customWidth="1"/>
    <col min="21" max="21" width="13.26953125" customWidth="1"/>
    <col min="22" max="22" width="17.453125" customWidth="1"/>
    <col min="23" max="23" width="14.7265625" customWidth="1"/>
    <col min="24" max="24" width="12.54296875" customWidth="1"/>
    <col min="25" max="25" width="14.1796875" customWidth="1"/>
    <col min="26" max="26" width="19.26953125" customWidth="1"/>
    <col min="27" max="27" width="12.81640625" customWidth="1"/>
    <col min="28" max="28" width="12.7265625" customWidth="1"/>
    <col min="29" max="29" width="13.453125" customWidth="1"/>
    <col min="30" max="30" width="11.54296875" customWidth="1"/>
    <col min="31" max="31" width="10.54296875" customWidth="1"/>
    <col min="32" max="32" width="11" customWidth="1"/>
    <col min="33" max="33" width="10" customWidth="1"/>
    <col min="34" max="34" width="12.1796875" customWidth="1"/>
    <col min="36" max="36" width="10.81640625" customWidth="1"/>
    <col min="38" max="38" width="10.453125" customWidth="1"/>
    <col min="40" max="40" width="11" customWidth="1"/>
  </cols>
  <sheetData>
    <row r="1" spans="1:40" ht="47" customHeight="1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40" s="1" customFormat="1" ht="21" customHeight="1">
      <c r="A2" s="16" t="s">
        <v>37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0" ht="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</row>
    <row r="4" spans="1:40" s="2" customFormat="1" ht="15.5">
      <c r="A4" s="5"/>
      <c r="B4" s="6"/>
      <c r="C4" s="6"/>
      <c r="D4" s="5"/>
      <c r="E4" s="6"/>
      <c r="F4" s="6"/>
      <c r="G4" s="6"/>
      <c r="H4" s="6">
        <f>IFERROR(ROUND(F4/E4*G4,2),0)</f>
        <v>0</v>
      </c>
      <c r="I4" s="6"/>
      <c r="J4" s="6"/>
      <c r="K4" s="6"/>
      <c r="L4" s="6"/>
      <c r="M4" s="6"/>
      <c r="N4" s="6">
        <f>SUM(H4:M4)</f>
        <v>0</v>
      </c>
      <c r="O4" s="6"/>
      <c r="P4" s="6"/>
      <c r="Q4" s="6"/>
      <c r="R4" s="6"/>
      <c r="S4" s="6">
        <f>N4+IFERROR(VLOOKUP(A4,'3月'!A:S,MATCH($S$3,'3月'!$A$3:$S$3,0),0),0)</f>
        <v>0</v>
      </c>
      <c r="T4" s="6">
        <f>SUM(O4:R4)+IFERROR(VLOOKUP(A4,'3月'!A:T,MATCH($T$3,'3月'!$A$3:$T$3,0),0),0)</f>
        <v>0</v>
      </c>
      <c r="U4" s="6"/>
      <c r="V4" s="6"/>
      <c r="W4" s="6"/>
      <c r="X4" s="6"/>
      <c r="Y4" s="6"/>
      <c r="Z4" s="6"/>
      <c r="AA4" s="6">
        <f>ROUND(MAX((S4-4*5000-T4-U4-V4-W4-X4-Y4-Z4)*{0.03;0.1;0.2;0.25;0.3;0.35;0.45}-{0;2520;16920;31920;52920;85920;181920},0),2)</f>
        <v>0</v>
      </c>
      <c r="AB4" s="6">
        <f>IFERROR(VLOOKUP(A4,'3月'!A:AA,MATCH($AA$3,'3月'!$A$3:$AA$3,0),0),0)</f>
        <v>0</v>
      </c>
      <c r="AC4" s="6">
        <f>AA4-AB4</f>
        <v>0</v>
      </c>
      <c r="AD4" s="6"/>
      <c r="AE4" s="6"/>
      <c r="AF4" s="6"/>
      <c r="AG4" s="6">
        <f>N4-O4-P4-Q4-R4-AC4-AD4-AE4-AF4</f>
        <v>0</v>
      </c>
    </row>
    <row r="5" spans="1:40" s="2" customFormat="1" ht="15.5">
      <c r="A5" s="5"/>
      <c r="B5" s="6"/>
      <c r="C5" s="6"/>
      <c r="D5" s="5"/>
      <c r="E5" s="6"/>
      <c r="F5" s="6"/>
      <c r="G5" s="6"/>
      <c r="H5" s="6">
        <f>IFERROR(ROUND(F5/E5*G5,2),0)</f>
        <v>0</v>
      </c>
      <c r="I5" s="6"/>
      <c r="J5" s="6"/>
      <c r="K5" s="6"/>
      <c r="L5" s="6"/>
      <c r="M5" s="6"/>
      <c r="N5" s="6">
        <f>SUM(H5:M5)</f>
        <v>0</v>
      </c>
      <c r="O5" s="6"/>
      <c r="P5" s="6"/>
      <c r="Q5" s="6"/>
      <c r="R5" s="6"/>
      <c r="S5" s="6">
        <f>N5+IFERROR(VLOOKUP(A5,'3月'!A:S,MATCH($S$3,'3月'!$A$3:$S$3,0),0),0)</f>
        <v>0</v>
      </c>
      <c r="T5" s="6">
        <f>SUM(O5:R5)+IFERROR(VLOOKUP(A5,'3月'!A:T,MATCH($T$3,'3月'!$A$3:$T$3,0),0),0)</f>
        <v>0</v>
      </c>
      <c r="U5" s="6"/>
      <c r="V5" s="6"/>
      <c r="W5" s="6"/>
      <c r="X5" s="6"/>
      <c r="Y5" s="6"/>
      <c r="Z5" s="6"/>
      <c r="AA5" s="6">
        <f>ROUND(MAX((S5-4*5000-T5-U5-V5-W5-X5-Y5-Z5)*{0.03;0.1;0.2;0.25;0.3;0.35;0.45}-{0;2520;16920;31920;52920;85920;181920},0),2)</f>
        <v>0</v>
      </c>
      <c r="AB5" s="6">
        <f>IFERROR(VLOOKUP(A5,'3月'!A:AA,MATCH($AA$3,'3月'!$A$3:$AA$3,0),0),0)</f>
        <v>0</v>
      </c>
      <c r="AC5" s="6">
        <f>AA5-AB5</f>
        <v>0</v>
      </c>
      <c r="AD5" s="6"/>
      <c r="AE5" s="6"/>
      <c r="AF5" s="6"/>
      <c r="AG5" s="6">
        <f>N5-O5-P5-Q5-R5-AC5-AD5-AE5-AF5</f>
        <v>0</v>
      </c>
    </row>
    <row r="6" spans="1:40" s="2" customFormat="1" ht="15.5">
      <c r="A6" s="5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40" s="2" customFormat="1" ht="15.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40" s="2" customFormat="1" ht="15.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40" s="2" customFormat="1" ht="15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40" s="2" customFormat="1" ht="15.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40" s="2" customFormat="1" ht="15.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40" s="2" customFormat="1" ht="15.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40" s="2" customFormat="1" ht="15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40" s="2" customFormat="1" ht="15.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40" ht="13">
      <c r="A15" s="7"/>
      <c r="B15" s="8"/>
      <c r="C15" s="8"/>
      <c r="D15" s="8"/>
      <c r="E15" s="6"/>
      <c r="F15" s="6"/>
      <c r="G15" s="8"/>
      <c r="H15" s="6"/>
      <c r="I15" s="6"/>
      <c r="J15" s="8"/>
      <c r="K15" s="8"/>
      <c r="L15" s="8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8"/>
      <c r="AE15" s="8"/>
      <c r="AF15" s="8"/>
      <c r="AG15" s="6"/>
    </row>
    <row r="16" spans="1:40" ht="13">
      <c r="A16" s="9"/>
      <c r="B16" s="10" t="s">
        <v>34</v>
      </c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11"/>
      <c r="P16" s="11"/>
      <c r="Q16" s="11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6"/>
    </row>
  </sheetData>
  <mergeCells count="2">
    <mergeCell ref="A1:R1"/>
    <mergeCell ref="A2:AN2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workbookViewId="0">
      <selection sqref="A1:IV1"/>
    </sheetView>
  </sheetViews>
  <sheetFormatPr defaultColWidth="9.1796875" defaultRowHeight="12.5"/>
  <cols>
    <col min="4" max="4" width="10.81640625" customWidth="1"/>
    <col min="7" max="7" width="11" customWidth="1"/>
    <col min="8" max="8" width="12.1796875" customWidth="1"/>
    <col min="13" max="13" width="11" customWidth="1"/>
    <col min="14" max="14" width="11.7265625" customWidth="1"/>
    <col min="19" max="19" width="12.81640625" customWidth="1"/>
    <col min="20" max="20" width="13.7265625" customWidth="1"/>
    <col min="21" max="21" width="12.81640625" customWidth="1"/>
    <col min="22" max="22" width="17.7265625" customWidth="1"/>
    <col min="23" max="24" width="12.81640625" customWidth="1"/>
    <col min="25" max="25" width="12.7265625" customWidth="1"/>
    <col min="26" max="26" width="19.26953125" customWidth="1"/>
    <col min="27" max="27" width="15" customWidth="1"/>
    <col min="28" max="30" width="12.7265625" customWidth="1"/>
    <col min="31" max="31" width="13.26953125" customWidth="1"/>
    <col min="33" max="33" width="11" customWidth="1"/>
  </cols>
  <sheetData>
    <row r="1" spans="1:40" ht="47" customHeight="1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40" s="1" customFormat="1" ht="21" customHeight="1">
      <c r="A2" s="16" t="s">
        <v>38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0" ht="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</row>
    <row r="4" spans="1:40" s="2" customFormat="1" ht="15.5">
      <c r="A4" s="5"/>
      <c r="B4" s="6"/>
      <c r="C4" s="6"/>
      <c r="D4" s="5"/>
      <c r="E4" s="6"/>
      <c r="F4" s="6"/>
      <c r="G4" s="6"/>
      <c r="H4" s="6">
        <f>IFERROR(ROUND(F4/E4*G4,2),0)</f>
        <v>0</v>
      </c>
      <c r="I4" s="6"/>
      <c r="J4" s="6"/>
      <c r="K4" s="6"/>
      <c r="L4" s="6"/>
      <c r="M4" s="6"/>
      <c r="N4" s="6">
        <f>SUM(H4:M4)</f>
        <v>0</v>
      </c>
      <c r="O4" s="6"/>
      <c r="P4" s="6"/>
      <c r="Q4" s="6"/>
      <c r="R4" s="6"/>
      <c r="S4" s="6">
        <f>N4+IFERROR(VLOOKUP(A4,'4月'!A:S,MATCH($S$3,'4月'!$A$3:$S$3,0),0),0)</f>
        <v>0</v>
      </c>
      <c r="T4" s="6">
        <f>SUM(O4:R4)+IFERROR(VLOOKUP(A4,'4月'!A:T,MATCH($T$3,'4月'!$A$3:$T$3,0),0),0)</f>
        <v>0</v>
      </c>
      <c r="U4" s="6"/>
      <c r="V4" s="6"/>
      <c r="W4" s="6"/>
      <c r="X4" s="6"/>
      <c r="Y4" s="6"/>
      <c r="Z4" s="6"/>
      <c r="AA4" s="6">
        <f>ROUND(MAX((S4-5*5000-T4-U4-V4-W4-X4-Y4-Z4)*{0.03;0.1;0.2;0.25;0.3;0.35;0.45}-{0;2520;16920;31920;52920;85920;181920},0),2)</f>
        <v>0</v>
      </c>
      <c r="AB4" s="6">
        <f>IFERROR(VLOOKUP(A4,'4月'!A:AA,MATCH($AA$3,'4月'!$A$3:$AA$3,0),0),0)</f>
        <v>0</v>
      </c>
      <c r="AC4" s="6">
        <f>AA4-AB4</f>
        <v>0</v>
      </c>
      <c r="AD4" s="6"/>
      <c r="AE4" s="6"/>
      <c r="AF4" s="6"/>
      <c r="AG4" s="6">
        <f>N4-O4-P4-Q4-R4-AC4-AD4-AE4-AF4</f>
        <v>0</v>
      </c>
    </row>
    <row r="5" spans="1:40" s="2" customFormat="1" ht="15.5">
      <c r="A5" s="5"/>
      <c r="B5" s="6"/>
      <c r="C5" s="6"/>
      <c r="D5" s="5"/>
      <c r="E5" s="6"/>
      <c r="F5" s="6"/>
      <c r="G5" s="6"/>
      <c r="H5" s="6">
        <f>IFERROR(ROUND(F5/E5*G5,2),0)</f>
        <v>0</v>
      </c>
      <c r="I5" s="6"/>
      <c r="J5" s="6"/>
      <c r="K5" s="6"/>
      <c r="L5" s="6"/>
      <c r="M5" s="6"/>
      <c r="N5" s="6">
        <f>SUM(H5:M5)</f>
        <v>0</v>
      </c>
      <c r="O5" s="6"/>
      <c r="P5" s="6"/>
      <c r="Q5" s="6"/>
      <c r="R5" s="6"/>
      <c r="S5" s="6">
        <f>N5+IFERROR(VLOOKUP(A5,'4月'!A:S,MATCH($S$3,'4月'!$A$3:$S$3,0),0),0)</f>
        <v>0</v>
      </c>
      <c r="T5" s="6">
        <f>SUM(O5:R5)+IFERROR(VLOOKUP(A5,'4月'!A:T,MATCH($T$3,'4月'!$A$3:$T$3,0),0),0)</f>
        <v>0</v>
      </c>
      <c r="U5" s="6"/>
      <c r="V5" s="6"/>
      <c r="W5" s="6"/>
      <c r="X5" s="6"/>
      <c r="Y5" s="6"/>
      <c r="Z5" s="6"/>
      <c r="AA5" s="6">
        <f>ROUND(MAX((S5-5*5000-T5-U5-V5-W5-X5-Y5-Z5)*{0.03;0.1;0.2;0.25;0.3;0.35;0.45}-{0;2520;16920;31920;52920;85920;181920},0),2)</f>
        <v>0</v>
      </c>
      <c r="AB5" s="6">
        <f>IFERROR(VLOOKUP(A5,'4月'!A:AA,MATCH($AA$3,'4月'!$A$3:$AA$3,0),0),0)</f>
        <v>0</v>
      </c>
      <c r="AC5" s="6">
        <f>AA5-AB5</f>
        <v>0</v>
      </c>
      <c r="AD5" s="6"/>
      <c r="AE5" s="6"/>
      <c r="AF5" s="6"/>
      <c r="AG5" s="6">
        <f>N5-O5-P5-Q5-R5-AC5-AD5-AE5-AF5</f>
        <v>0</v>
      </c>
    </row>
    <row r="6" spans="1:40" s="2" customFormat="1" ht="15.5">
      <c r="A6" s="5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40" s="2" customFormat="1" ht="15.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40" s="2" customFormat="1" ht="15.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40" s="2" customFormat="1" ht="15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40" s="2" customFormat="1" ht="15.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40" s="2" customFormat="1" ht="15.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40" s="2" customFormat="1" ht="15.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40" s="2" customFormat="1" ht="15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40" s="2" customFormat="1" ht="15.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40" ht="13">
      <c r="A15" s="7"/>
      <c r="B15" s="8"/>
      <c r="C15" s="8"/>
      <c r="D15" s="8"/>
      <c r="E15" s="6"/>
      <c r="F15" s="6"/>
      <c r="G15" s="8"/>
      <c r="H15" s="6"/>
      <c r="I15" s="6"/>
      <c r="J15" s="8"/>
      <c r="K15" s="8"/>
      <c r="L15" s="8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8"/>
      <c r="AE15" s="8"/>
      <c r="AF15" s="8"/>
      <c r="AG15" s="6"/>
    </row>
    <row r="16" spans="1:40" ht="13">
      <c r="A16" s="9"/>
      <c r="B16" s="10" t="s">
        <v>34</v>
      </c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11"/>
      <c r="P16" s="11"/>
      <c r="Q16" s="11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6"/>
    </row>
  </sheetData>
  <mergeCells count="2">
    <mergeCell ref="A1:R1"/>
    <mergeCell ref="A2:AN2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workbookViewId="0">
      <selection sqref="A1:IV1"/>
    </sheetView>
  </sheetViews>
  <sheetFormatPr defaultColWidth="9.1796875" defaultRowHeight="12.5"/>
  <cols>
    <col min="4" max="4" width="13.1796875" customWidth="1"/>
    <col min="7" max="7" width="11" customWidth="1"/>
    <col min="8" max="8" width="12.1796875" customWidth="1"/>
    <col min="13" max="13" width="10" customWidth="1"/>
    <col min="14" max="14" width="11.7265625" customWidth="1"/>
    <col min="19" max="19" width="12.81640625" customWidth="1"/>
    <col min="20" max="20" width="14.453125" customWidth="1"/>
    <col min="21" max="23" width="12.81640625" customWidth="1"/>
    <col min="24" max="24" width="13.7265625" customWidth="1"/>
    <col min="25" max="25" width="13" customWidth="1"/>
    <col min="26" max="26" width="19.1796875" customWidth="1"/>
    <col min="27" max="27" width="14" customWidth="1"/>
    <col min="28" max="28" width="12.453125" customWidth="1"/>
    <col min="29" max="30" width="12.7265625" customWidth="1"/>
    <col min="31" max="31" width="13.26953125" customWidth="1"/>
    <col min="33" max="33" width="11" customWidth="1"/>
  </cols>
  <sheetData>
    <row r="1" spans="1:40" ht="47" customHeight="1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40" s="1" customFormat="1" ht="21" customHeight="1">
      <c r="A2" s="16" t="s">
        <v>39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0" ht="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</row>
    <row r="4" spans="1:40" s="2" customFormat="1" ht="15.5">
      <c r="A4" s="5"/>
      <c r="B4" s="6"/>
      <c r="C4" s="6"/>
      <c r="D4" s="5"/>
      <c r="E4" s="6"/>
      <c r="F4" s="6"/>
      <c r="G4" s="6"/>
      <c r="H4" s="6">
        <f>IFERROR(ROUND(F4/E4*G4,2),0)</f>
        <v>0</v>
      </c>
      <c r="I4" s="6"/>
      <c r="J4" s="6"/>
      <c r="K4" s="6"/>
      <c r="L4" s="6"/>
      <c r="M4" s="6"/>
      <c r="N4" s="6">
        <f>SUM(H4:M4)</f>
        <v>0</v>
      </c>
      <c r="O4" s="6"/>
      <c r="P4" s="6"/>
      <c r="Q4" s="6"/>
      <c r="R4" s="6"/>
      <c r="S4" s="6">
        <f>N4+IFERROR(VLOOKUP(A4,'5月'!A:S,MATCH($S$3,'5月'!$A$3:$S$3,0),0),0)</f>
        <v>0</v>
      </c>
      <c r="T4" s="6">
        <f>SUM(O4:R4)+IFERROR(VLOOKUP(A4,'5月'!A:T,MATCH($T$3,'5月'!$A$3:$T$3,0),0),0)</f>
        <v>0</v>
      </c>
      <c r="U4" s="6"/>
      <c r="V4" s="6"/>
      <c r="W4" s="6"/>
      <c r="X4" s="6"/>
      <c r="Y4" s="6"/>
      <c r="Z4" s="6"/>
      <c r="AA4" s="6">
        <f>ROUND(MAX((S4-6*5000-T4-U4-V4-W4-X4-Y4-Z4)*{0.03;0.1;0.2;0.25;0.3;0.35;0.45}-{0;2520;16920;31920;52920;85920;181920},0),2)</f>
        <v>0</v>
      </c>
      <c r="AB4" s="6">
        <f>IFERROR(VLOOKUP(A4,'5月'!A:AA,MATCH($AA$3,'5月'!$A$3:$AA$3,0),0),0)</f>
        <v>0</v>
      </c>
      <c r="AC4" s="6">
        <f>AA4-AB4</f>
        <v>0</v>
      </c>
      <c r="AD4" s="6"/>
      <c r="AE4" s="6"/>
      <c r="AF4" s="6"/>
      <c r="AG4" s="6">
        <f>N4-O4-P4-Q4-R4-AC4-AD4-AE4-AF4</f>
        <v>0</v>
      </c>
    </row>
    <row r="5" spans="1:40" s="2" customFormat="1" ht="15.5">
      <c r="A5" s="5"/>
      <c r="B5" s="6"/>
      <c r="C5" s="6"/>
      <c r="D5" s="5"/>
      <c r="E5" s="6"/>
      <c r="F5" s="6"/>
      <c r="G5" s="6"/>
      <c r="H5" s="6">
        <f>IFERROR(ROUND(F5/E5*G5,2),0)</f>
        <v>0</v>
      </c>
      <c r="I5" s="6"/>
      <c r="J5" s="6"/>
      <c r="K5" s="6"/>
      <c r="L5" s="6"/>
      <c r="M5" s="6"/>
      <c r="N5" s="6">
        <f>SUM(H5:M5)</f>
        <v>0</v>
      </c>
      <c r="O5" s="6"/>
      <c r="P5" s="6"/>
      <c r="Q5" s="6"/>
      <c r="R5" s="6"/>
      <c r="S5" s="6">
        <f>N5+IFERROR(VLOOKUP(A5,'5月'!A:S,MATCH($S$3,'5月'!$A$3:$S$3,0),0),0)</f>
        <v>0</v>
      </c>
      <c r="T5" s="6">
        <f>SUM(O5:R5)+IFERROR(VLOOKUP(A5,'5月'!A:T,MATCH($T$3,'5月'!$A$3:$T$3,0),0),0)</f>
        <v>0</v>
      </c>
      <c r="U5" s="6"/>
      <c r="V5" s="6"/>
      <c r="W5" s="6"/>
      <c r="X5" s="6"/>
      <c r="Y5" s="6"/>
      <c r="Z5" s="6"/>
      <c r="AA5" s="6">
        <f>ROUND(MAX((S5-6*5000-T5-U5-V5-W5-X5-Y5-Z5)*{0.03;0.1;0.2;0.25;0.3;0.35;0.45}-{0;2520;16920;31920;52920;85920;181920},0),2)</f>
        <v>0</v>
      </c>
      <c r="AB5" s="6">
        <f>IFERROR(VLOOKUP(A5,'5月'!A:AA,MATCH($AA$3,'5月'!$A$3:$AA$3,0),0),0)</f>
        <v>0</v>
      </c>
      <c r="AC5" s="6">
        <f>AA5-AB5</f>
        <v>0</v>
      </c>
      <c r="AD5" s="6"/>
      <c r="AE5" s="6"/>
      <c r="AF5" s="6"/>
      <c r="AG5" s="6">
        <f>N5-O5-P5-Q5-R5-AC5-AD5-AE5-AF5</f>
        <v>0</v>
      </c>
    </row>
    <row r="6" spans="1:40" s="2" customFormat="1" ht="15.5">
      <c r="A6" s="5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40" s="2" customFormat="1" ht="15.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40" s="2" customFormat="1" ht="15.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40" s="2" customFormat="1" ht="15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40" s="2" customFormat="1" ht="15.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40" s="2" customFormat="1" ht="15.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40" s="2" customFormat="1" ht="15.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40" s="2" customFormat="1" ht="15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40" s="2" customFormat="1" ht="15.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40" ht="13">
      <c r="A15" s="7"/>
      <c r="B15" s="8"/>
      <c r="C15" s="8"/>
      <c r="D15" s="8"/>
      <c r="E15" s="6"/>
      <c r="F15" s="6"/>
      <c r="G15" s="8"/>
      <c r="H15" s="6"/>
      <c r="I15" s="6"/>
      <c r="J15" s="8"/>
      <c r="K15" s="8"/>
      <c r="L15" s="8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8"/>
      <c r="AE15" s="8"/>
      <c r="AF15" s="8"/>
      <c r="AG15" s="6"/>
    </row>
    <row r="16" spans="1:40" ht="13">
      <c r="A16" s="9"/>
      <c r="B16" s="10" t="s">
        <v>34</v>
      </c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11"/>
      <c r="P16" s="11"/>
      <c r="Q16" s="11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6"/>
    </row>
  </sheetData>
  <mergeCells count="2">
    <mergeCell ref="A1:R1"/>
    <mergeCell ref="A2:AN2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workbookViewId="0">
      <selection sqref="A1:IV1"/>
    </sheetView>
  </sheetViews>
  <sheetFormatPr defaultColWidth="9.1796875" defaultRowHeight="12.5"/>
  <cols>
    <col min="4" max="4" width="11.54296875" customWidth="1"/>
    <col min="7" max="7" width="11" customWidth="1"/>
    <col min="8" max="8" width="12.1796875" customWidth="1"/>
    <col min="14" max="14" width="11.7265625" customWidth="1"/>
    <col min="19" max="19" width="12.81640625" customWidth="1"/>
    <col min="20" max="20" width="14.54296875" customWidth="1"/>
    <col min="21" max="21" width="13.453125" customWidth="1"/>
    <col min="22" max="22" width="16.453125" customWidth="1"/>
    <col min="23" max="23" width="12.81640625" customWidth="1"/>
    <col min="24" max="24" width="13.54296875" customWidth="1"/>
    <col min="25" max="25" width="12.7265625" customWidth="1"/>
    <col min="26" max="26" width="20.453125" customWidth="1"/>
    <col min="27" max="27" width="13.453125" customWidth="1"/>
    <col min="28" max="28" width="12.54296875" customWidth="1"/>
    <col min="29" max="29" width="13.453125" customWidth="1"/>
    <col min="30" max="30" width="10.453125" customWidth="1"/>
    <col min="31" max="31" width="12.1796875" customWidth="1"/>
    <col min="32" max="32" width="10.453125" customWidth="1"/>
    <col min="33" max="33" width="11" customWidth="1"/>
  </cols>
  <sheetData>
    <row r="1" spans="1:40" ht="47" customHeight="1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40" s="1" customFormat="1" ht="21" customHeight="1">
      <c r="A2" s="16" t="s">
        <v>40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0" ht="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</row>
    <row r="4" spans="1:40" s="2" customFormat="1" ht="15.5">
      <c r="A4" s="5"/>
      <c r="B4" s="6"/>
      <c r="C4" s="6"/>
      <c r="D4" s="5"/>
      <c r="E4" s="6"/>
      <c r="F4" s="6"/>
      <c r="G4" s="6"/>
      <c r="H4" s="6">
        <f>IFERROR(ROUND(F4/E4*G4,2),0)</f>
        <v>0</v>
      </c>
      <c r="I4" s="6"/>
      <c r="J4" s="6"/>
      <c r="K4" s="6"/>
      <c r="L4" s="6"/>
      <c r="M4" s="6"/>
      <c r="N4" s="6">
        <f>SUM(H4:M4)</f>
        <v>0</v>
      </c>
      <c r="O4" s="6"/>
      <c r="P4" s="6"/>
      <c r="Q4" s="6"/>
      <c r="R4" s="6"/>
      <c r="S4" s="6">
        <f>N4+IFERROR(VLOOKUP(A4,'6月'!A:S,MATCH($S$3,'6月'!$A$3:$S$3,0),0),0)</f>
        <v>0</v>
      </c>
      <c r="T4" s="6">
        <f>SUM(O4:R4)+IFERROR(VLOOKUP(A4,'6月'!A:T,MATCH($T$3,'6月'!$A$3:$T$3,0),0),0)</f>
        <v>0</v>
      </c>
      <c r="U4" s="6"/>
      <c r="V4" s="6"/>
      <c r="W4" s="6"/>
      <c r="X4" s="6"/>
      <c r="Y4" s="6"/>
      <c r="Z4" s="6"/>
      <c r="AA4" s="6">
        <f>ROUND(MAX((S4-7*5000-T4-U4-V4-W4-X4-Y4-Z4)*{0.03;0.1;0.2;0.25;0.3;0.35;0.45}-{0;2520;16920;31920;52920;85920;181920},0),2)</f>
        <v>0</v>
      </c>
      <c r="AB4" s="6">
        <f>IFERROR(VLOOKUP(A4,'6月'!A:AA,MATCH($AA$3,'6月'!$A$3:$AA$3,0),0),0)</f>
        <v>0</v>
      </c>
      <c r="AC4" s="6">
        <f>AA4-AB4</f>
        <v>0</v>
      </c>
      <c r="AD4" s="6"/>
      <c r="AE4" s="6"/>
      <c r="AF4" s="6"/>
      <c r="AG4" s="6">
        <f>N4-O4-P4-Q4-R4-AC4-AD4-AE4-AF4</f>
        <v>0</v>
      </c>
    </row>
    <row r="5" spans="1:40" s="2" customFormat="1" ht="15.5">
      <c r="A5" s="5"/>
      <c r="B5" s="6"/>
      <c r="C5" s="6"/>
      <c r="D5" s="5"/>
      <c r="E5" s="6"/>
      <c r="F5" s="6"/>
      <c r="G5" s="6"/>
      <c r="H5" s="6">
        <f>IFERROR(ROUND(F5/E5*G5,2),0)</f>
        <v>0</v>
      </c>
      <c r="I5" s="6"/>
      <c r="J5" s="6"/>
      <c r="K5" s="6"/>
      <c r="L5" s="6"/>
      <c r="M5" s="6"/>
      <c r="N5" s="6">
        <f>SUM(H5:M5)</f>
        <v>0</v>
      </c>
      <c r="O5" s="6"/>
      <c r="P5" s="6"/>
      <c r="Q5" s="6"/>
      <c r="R5" s="6"/>
      <c r="S5" s="6">
        <f>N5+IFERROR(VLOOKUP(A5,'6月'!A:S,MATCH($S$3,'6月'!$A$3:$S$3,0),0),0)</f>
        <v>0</v>
      </c>
      <c r="T5" s="6">
        <f>SUM(O5:R5)+IFERROR(VLOOKUP(A5,'6月'!A:T,MATCH($T$3,'6月'!$A$3:$T$3,0),0),0)</f>
        <v>0</v>
      </c>
      <c r="U5" s="6"/>
      <c r="V5" s="6"/>
      <c r="W5" s="6"/>
      <c r="X5" s="6"/>
      <c r="Y5" s="6"/>
      <c r="Z5" s="6"/>
      <c r="AA5" s="6">
        <f>ROUND(MAX((S5-7*5000-T5-U5-V5-W5-X5-Y5-Z5)*{0.03;0.1;0.2;0.25;0.3;0.35;0.45}-{0;2520;16920;31920;52920;85920;181920},0),2)</f>
        <v>0</v>
      </c>
      <c r="AB5" s="6">
        <f>IFERROR(VLOOKUP(A5,'6月'!A:AA,MATCH($AA$3,'6月'!$A$3:$AA$3,0),0),0)</f>
        <v>0</v>
      </c>
      <c r="AC5" s="6">
        <f>AA5-AB5</f>
        <v>0</v>
      </c>
      <c r="AD5" s="6"/>
      <c r="AE5" s="6"/>
      <c r="AF5" s="6"/>
      <c r="AG5" s="6">
        <f>N5-O5-P5-Q5-R5-AC5-AD5-AE5-AF5</f>
        <v>0</v>
      </c>
    </row>
    <row r="6" spans="1:40" s="2" customFormat="1" ht="15.5">
      <c r="A6" s="5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40" s="2" customFormat="1" ht="15.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40" s="2" customFormat="1" ht="15.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40" s="2" customFormat="1" ht="15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40" s="2" customFormat="1" ht="15.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40" s="2" customFormat="1" ht="15.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40" s="2" customFormat="1" ht="15.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40" s="2" customFormat="1" ht="15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40" s="2" customFormat="1" ht="15.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40" ht="13">
      <c r="A15" s="7"/>
      <c r="B15" s="8"/>
      <c r="C15" s="8"/>
      <c r="D15" s="8"/>
      <c r="E15" s="6"/>
      <c r="F15" s="6"/>
      <c r="G15" s="8"/>
      <c r="H15" s="6"/>
      <c r="I15" s="6"/>
      <c r="J15" s="8"/>
      <c r="K15" s="8"/>
      <c r="L15" s="8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8"/>
      <c r="AE15" s="8"/>
      <c r="AF15" s="8"/>
      <c r="AG15" s="6"/>
    </row>
    <row r="16" spans="1:40" ht="13">
      <c r="A16" s="9"/>
      <c r="B16" s="10" t="s">
        <v>34</v>
      </c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11"/>
      <c r="P16" s="11"/>
      <c r="Q16" s="11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6"/>
    </row>
  </sheetData>
  <mergeCells count="2">
    <mergeCell ref="A1:R1"/>
    <mergeCell ref="A2:AN2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workbookViewId="0">
      <selection sqref="A1:IV1"/>
    </sheetView>
  </sheetViews>
  <sheetFormatPr defaultColWidth="9.1796875" defaultRowHeight="12.5"/>
  <cols>
    <col min="4" max="4" width="11.1796875" customWidth="1"/>
    <col min="7" max="7" width="11" customWidth="1"/>
    <col min="8" max="8" width="12.1796875" customWidth="1"/>
    <col min="13" max="13" width="10" customWidth="1"/>
    <col min="14" max="14" width="11.7265625" customWidth="1"/>
    <col min="19" max="19" width="12.81640625" customWidth="1"/>
    <col min="20" max="20" width="14.453125" customWidth="1"/>
    <col min="21" max="21" width="12.81640625" customWidth="1"/>
    <col min="22" max="22" width="16.7265625" customWidth="1"/>
    <col min="23" max="23" width="13.7265625" customWidth="1"/>
    <col min="24" max="24" width="12.81640625" customWidth="1"/>
    <col min="25" max="25" width="14" customWidth="1"/>
    <col min="26" max="26" width="18.1796875" customWidth="1"/>
    <col min="27" max="27" width="12.81640625" customWidth="1"/>
    <col min="28" max="28" width="12.54296875" customWidth="1"/>
    <col min="29" max="29" width="12.7265625" customWidth="1"/>
    <col min="30" max="30" width="11" customWidth="1"/>
    <col min="31" max="31" width="13.26953125" customWidth="1"/>
    <col min="32" max="32" width="10.1796875" customWidth="1"/>
    <col min="33" max="33" width="11" customWidth="1"/>
  </cols>
  <sheetData>
    <row r="1" spans="1:40" ht="47" customHeight="1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40" s="1" customFormat="1" ht="21" customHeight="1">
      <c r="A2" s="16" t="s">
        <v>41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0" ht="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</row>
    <row r="4" spans="1:40" s="2" customFormat="1" ht="15.5">
      <c r="A4" s="5"/>
      <c r="B4" s="6"/>
      <c r="C4" s="6"/>
      <c r="D4" s="5"/>
      <c r="E4" s="6"/>
      <c r="F4" s="6"/>
      <c r="G4" s="6"/>
      <c r="H4" s="6">
        <f>IFERROR(ROUND(F4/E4*G4,2),0)</f>
        <v>0</v>
      </c>
      <c r="I4" s="6"/>
      <c r="J4" s="6"/>
      <c r="K4" s="6"/>
      <c r="L4" s="6"/>
      <c r="M4" s="6"/>
      <c r="N4" s="6">
        <f>SUM(H4:M4)</f>
        <v>0</v>
      </c>
      <c r="O4" s="6"/>
      <c r="P4" s="6"/>
      <c r="Q4" s="6"/>
      <c r="R4" s="6"/>
      <c r="S4" s="6">
        <f>N4+IFERROR(VLOOKUP(A4,'7月'!A:S,MATCH($S$3,'7月'!$A$3:$S$3,0),0),0)</f>
        <v>0</v>
      </c>
      <c r="T4" s="6">
        <f>SUM(O4:R4)+IFERROR(VLOOKUP(A4,'7月'!A:T,MATCH($T$3,'7月'!$A$3:$T$3,0),0),0)</f>
        <v>0</v>
      </c>
      <c r="U4" s="6"/>
      <c r="V4" s="6"/>
      <c r="W4" s="6"/>
      <c r="X4" s="6"/>
      <c r="Y4" s="6"/>
      <c r="Z4" s="6"/>
      <c r="AA4" s="6">
        <f>ROUND(MAX((S4-8*5000-T4-U4-V4-W4-X4-Y4-Z4)*{0.03;0.1;0.2;0.25;0.3;0.35;0.45}-{0;2520;16920;31920;52920;85920;181920},0),2)</f>
        <v>0</v>
      </c>
      <c r="AB4" s="6">
        <f>IFERROR(VLOOKUP(A4,'7月'!A:AA,MATCH($AA$3,'7月'!$A$3:$AA$3,0),0),0)</f>
        <v>0</v>
      </c>
      <c r="AC4" s="6">
        <f>AA4-AB4</f>
        <v>0</v>
      </c>
      <c r="AD4" s="6"/>
      <c r="AE4" s="6"/>
      <c r="AF4" s="6"/>
      <c r="AG4" s="6">
        <f>N4-O4-P4-Q4-R4-AC4-AD4-AE4-AF4</f>
        <v>0</v>
      </c>
    </row>
    <row r="5" spans="1:40" s="2" customFormat="1" ht="15.5">
      <c r="A5" s="5"/>
      <c r="B5" s="6"/>
      <c r="C5" s="6"/>
      <c r="D5" s="5"/>
      <c r="E5" s="6"/>
      <c r="F5" s="6"/>
      <c r="G5" s="6"/>
      <c r="H5" s="6">
        <f>IFERROR(ROUND(F5/E5*G5,2),0)</f>
        <v>0</v>
      </c>
      <c r="I5" s="6"/>
      <c r="J5" s="6"/>
      <c r="K5" s="6"/>
      <c r="L5" s="6"/>
      <c r="M5" s="6"/>
      <c r="N5" s="6">
        <f>SUM(H5:M5)</f>
        <v>0</v>
      </c>
      <c r="O5" s="6"/>
      <c r="P5" s="6"/>
      <c r="Q5" s="6"/>
      <c r="R5" s="6"/>
      <c r="S5" s="6">
        <f>N5+IFERROR(VLOOKUP(A5,'7月'!A:S,MATCH($S$3,'7月'!$A$3:$S$3,0),0),0)</f>
        <v>0</v>
      </c>
      <c r="T5" s="6">
        <f>SUM(O5:R5)+IFERROR(VLOOKUP(A5,'7月'!A:T,MATCH($T$3,'7月'!$A$3:$T$3,0),0),0)</f>
        <v>0</v>
      </c>
      <c r="U5" s="6"/>
      <c r="V5" s="6"/>
      <c r="W5" s="6"/>
      <c r="X5" s="6"/>
      <c r="Y5" s="6"/>
      <c r="Z5" s="6"/>
      <c r="AA5" s="6">
        <f>ROUND(MAX((S5-8*5000-T5-U5-V5-W5-X5-Y5-Z5)*{0.03;0.1;0.2;0.25;0.3;0.35;0.45}-{0;2520;16920;31920;52920;85920;181920},0),2)</f>
        <v>0</v>
      </c>
      <c r="AB5" s="6">
        <f>IFERROR(VLOOKUP(A5,'7月'!A:AA,MATCH($AA$3,'7月'!$A$3:$AA$3,0),0),0)</f>
        <v>0</v>
      </c>
      <c r="AC5" s="6">
        <f>AA5-AB5</f>
        <v>0</v>
      </c>
      <c r="AD5" s="6"/>
      <c r="AE5" s="6"/>
      <c r="AF5" s="6"/>
      <c r="AG5" s="6">
        <f>N5-O5-P5-Q5-R5-AC5-AD5-AE5-AF5</f>
        <v>0</v>
      </c>
    </row>
    <row r="6" spans="1:40" s="2" customFormat="1" ht="15.5">
      <c r="A6" s="5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40" s="2" customFormat="1" ht="15.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40" s="2" customFormat="1" ht="15.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40" s="2" customFormat="1" ht="15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40" s="2" customFormat="1" ht="15.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40" s="2" customFormat="1" ht="15.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40" s="2" customFormat="1" ht="15.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40" s="2" customFormat="1" ht="15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40" s="2" customFormat="1" ht="15.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40" ht="13">
      <c r="A15" s="7"/>
      <c r="B15" s="8"/>
      <c r="C15" s="8"/>
      <c r="D15" s="8"/>
      <c r="E15" s="6"/>
      <c r="F15" s="6"/>
      <c r="G15" s="8"/>
      <c r="H15" s="6"/>
      <c r="I15" s="6"/>
      <c r="J15" s="8"/>
      <c r="K15" s="8"/>
      <c r="L15" s="8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8"/>
      <c r="AE15" s="8"/>
      <c r="AF15" s="8"/>
      <c r="AG15" s="6"/>
    </row>
    <row r="16" spans="1:40" ht="13">
      <c r="A16" s="9"/>
      <c r="B16" s="10" t="s">
        <v>34</v>
      </c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11"/>
      <c r="P16" s="11"/>
      <c r="Q16" s="11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6"/>
    </row>
  </sheetData>
  <mergeCells count="2">
    <mergeCell ref="A1:R1"/>
    <mergeCell ref="A2:AN2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workbookViewId="0">
      <selection sqref="A1:IV1"/>
    </sheetView>
  </sheetViews>
  <sheetFormatPr defaultColWidth="9.1796875" defaultRowHeight="12.5"/>
  <cols>
    <col min="4" max="4" width="10.7265625" customWidth="1"/>
    <col min="7" max="7" width="11" customWidth="1"/>
    <col min="8" max="8" width="12.1796875" customWidth="1"/>
    <col min="14" max="14" width="11.7265625" customWidth="1"/>
    <col min="19" max="19" width="12.81640625" customWidth="1"/>
    <col min="20" max="20" width="15" customWidth="1"/>
    <col min="21" max="21" width="12.81640625" customWidth="1"/>
    <col min="22" max="22" width="16.1796875" customWidth="1"/>
    <col min="23" max="24" width="12.81640625" customWidth="1"/>
    <col min="25" max="25" width="13.7265625" customWidth="1"/>
    <col min="26" max="26" width="18.453125" customWidth="1"/>
    <col min="27" max="27" width="13.54296875" customWidth="1"/>
    <col min="28" max="28" width="13.453125" customWidth="1"/>
    <col min="29" max="29" width="12.7265625" customWidth="1"/>
    <col min="30" max="30" width="11.453125" customWidth="1"/>
    <col min="31" max="31" width="12.453125" customWidth="1"/>
    <col min="32" max="32" width="10.453125" customWidth="1"/>
    <col min="33" max="33" width="11" customWidth="1"/>
  </cols>
  <sheetData>
    <row r="1" spans="1:40" ht="47" customHeight="1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40" s="1" customFormat="1" ht="21" customHeight="1">
      <c r="A2" s="16" t="s">
        <v>42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0" ht="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</row>
    <row r="4" spans="1:40" s="2" customFormat="1" ht="15.5">
      <c r="A4" s="5"/>
      <c r="B4" s="6"/>
      <c r="C4" s="6"/>
      <c r="D4" s="5"/>
      <c r="E4" s="6"/>
      <c r="F4" s="6"/>
      <c r="G4" s="6"/>
      <c r="H4" s="6">
        <f>IFERROR(ROUND(F4/E4*G4,2),0)</f>
        <v>0</v>
      </c>
      <c r="I4" s="6"/>
      <c r="J4" s="6"/>
      <c r="K4" s="6"/>
      <c r="L4" s="6"/>
      <c r="M4" s="6"/>
      <c r="N4" s="6">
        <f>SUM(H4:M4)</f>
        <v>0</v>
      </c>
      <c r="O4" s="6"/>
      <c r="P4" s="6"/>
      <c r="Q4" s="6"/>
      <c r="R4" s="6"/>
      <c r="S4" s="6">
        <f>N4+IFERROR(VLOOKUP(A4,'8月'!A:S,MATCH($S$3,'8月'!$A$3:$S$3,0),0),0)</f>
        <v>0</v>
      </c>
      <c r="T4" s="6">
        <f>SUM(O4:R4)+IFERROR(VLOOKUP(A4,'8月'!A:T,MATCH($T$3,'8月'!$A$3:$T$3,0),0),0)</f>
        <v>0</v>
      </c>
      <c r="U4" s="6"/>
      <c r="V4" s="6"/>
      <c r="W4" s="6"/>
      <c r="X4" s="6"/>
      <c r="Y4" s="6"/>
      <c r="Z4" s="6"/>
      <c r="AA4" s="6">
        <f>ROUND(MAX((S4-9*5000-T4-U4-V4-W4-X4-Y4-Z4)*{0.03;0.1;0.2;0.25;0.3;0.35;0.45}-{0;2520;16920;31920;52920;85920;181920},0),2)</f>
        <v>0</v>
      </c>
      <c r="AB4" s="6">
        <f>IFERROR(VLOOKUP(A4,'8月'!A:AA,MATCH($AA$3,'8月'!$A$3:$AA$3,0),0),0)</f>
        <v>0</v>
      </c>
      <c r="AC4" s="6">
        <f>AA4-AB4</f>
        <v>0</v>
      </c>
      <c r="AD4" s="6"/>
      <c r="AE4" s="6"/>
      <c r="AF4" s="6"/>
      <c r="AG4" s="6">
        <f>N4-O4-P4-Q4-R4-AC4-AD4-AE4-AF4</f>
        <v>0</v>
      </c>
    </row>
    <row r="5" spans="1:40" s="2" customFormat="1" ht="15.5">
      <c r="A5" s="5"/>
      <c r="B5" s="6"/>
      <c r="C5" s="6"/>
      <c r="D5" s="5"/>
      <c r="E5" s="6"/>
      <c r="F5" s="6"/>
      <c r="G5" s="6"/>
      <c r="H5" s="6">
        <f>IFERROR(ROUND(F5/E5*G5,2),0)</f>
        <v>0</v>
      </c>
      <c r="I5" s="6"/>
      <c r="J5" s="6"/>
      <c r="K5" s="6"/>
      <c r="L5" s="6"/>
      <c r="M5" s="6"/>
      <c r="N5" s="6">
        <f>SUM(H5:M5)</f>
        <v>0</v>
      </c>
      <c r="O5" s="6"/>
      <c r="P5" s="6"/>
      <c r="Q5" s="6"/>
      <c r="R5" s="6"/>
      <c r="S5" s="6">
        <f>N5+IFERROR(VLOOKUP(A5,'8月'!A:S,MATCH($S$3,'8月'!$A$3:$S$3,0),0),0)</f>
        <v>0</v>
      </c>
      <c r="T5" s="6">
        <f>SUM(O5:R5)+IFERROR(VLOOKUP(A5,'8月'!A:T,MATCH($T$3,'8月'!$A$3:$T$3,0),0),0)</f>
        <v>0</v>
      </c>
      <c r="U5" s="6"/>
      <c r="V5" s="6"/>
      <c r="W5" s="6"/>
      <c r="X5" s="6"/>
      <c r="Y5" s="6"/>
      <c r="Z5" s="6"/>
      <c r="AA5" s="6">
        <f>ROUND(MAX((S5-9*5000-T5-U5-V5-W5-X5-Y5-Z5)*{0.03;0.1;0.2;0.25;0.3;0.35;0.45}-{0;2520;16920;31920;52920;85920;181920},0),2)</f>
        <v>0</v>
      </c>
      <c r="AB5" s="6">
        <f>IFERROR(VLOOKUP(A5,'8月'!A:AA,MATCH($AA$3,'8月'!$A$3:$AA$3,0),0),0)</f>
        <v>0</v>
      </c>
      <c r="AC5" s="6">
        <f>AA5-AB5</f>
        <v>0</v>
      </c>
      <c r="AD5" s="6"/>
      <c r="AE5" s="6"/>
      <c r="AF5" s="6"/>
      <c r="AG5" s="6">
        <f>N5-O5-P5-Q5-R5-AC5-AD5-AE5-AF5</f>
        <v>0</v>
      </c>
    </row>
    <row r="6" spans="1:40" s="2" customFormat="1" ht="15.5">
      <c r="A6" s="5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40" s="2" customFormat="1" ht="15.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40" s="2" customFormat="1" ht="15.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40" s="2" customFormat="1" ht="15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40" s="2" customFormat="1" ht="15.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40" s="2" customFormat="1" ht="15.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40" s="2" customFormat="1" ht="15.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40" s="2" customFormat="1" ht="15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40" s="2" customFormat="1" ht="15.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40" ht="13">
      <c r="A15" s="7"/>
      <c r="B15" s="8"/>
      <c r="C15" s="8"/>
      <c r="D15" s="8"/>
      <c r="E15" s="6"/>
      <c r="F15" s="6"/>
      <c r="G15" s="8"/>
      <c r="H15" s="6"/>
      <c r="I15" s="6"/>
      <c r="J15" s="8"/>
      <c r="K15" s="8"/>
      <c r="L15" s="8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8"/>
      <c r="AE15" s="8"/>
      <c r="AF15" s="8"/>
      <c r="AG15" s="6"/>
    </row>
    <row r="16" spans="1:40" ht="13">
      <c r="A16" s="9"/>
      <c r="B16" s="10" t="s">
        <v>34</v>
      </c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11"/>
      <c r="P16" s="11"/>
      <c r="Q16" s="11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6"/>
    </row>
  </sheetData>
  <mergeCells count="2">
    <mergeCell ref="A1:R1"/>
    <mergeCell ref="A2:AN2"/>
  </mergeCells>
  <phoneticPr fontId="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workbookViewId="0">
      <selection sqref="A1:IV1"/>
    </sheetView>
  </sheetViews>
  <sheetFormatPr defaultColWidth="9.1796875" defaultRowHeight="12.5"/>
  <cols>
    <col min="4" max="4" width="11.26953125" customWidth="1"/>
    <col min="7" max="7" width="11" customWidth="1"/>
    <col min="8" max="8" width="12.1796875" customWidth="1"/>
    <col min="13" max="13" width="9.54296875" customWidth="1"/>
    <col min="14" max="14" width="11.7265625" customWidth="1"/>
    <col min="19" max="19" width="12.81640625" customWidth="1"/>
    <col min="20" max="21" width="14.7265625" customWidth="1"/>
    <col min="22" max="22" width="16.81640625" customWidth="1"/>
    <col min="23" max="23" width="13.81640625" customWidth="1"/>
    <col min="24" max="24" width="14.7265625" customWidth="1"/>
    <col min="25" max="25" width="15.7265625" customWidth="1"/>
    <col min="26" max="26" width="20.54296875" customWidth="1"/>
    <col min="27" max="27" width="12.1796875" customWidth="1"/>
    <col min="28" max="28" width="12.54296875" customWidth="1"/>
    <col min="29" max="29" width="12.7265625" customWidth="1"/>
    <col min="30" max="30" width="11.453125" customWidth="1"/>
    <col min="31" max="31" width="13.26953125" customWidth="1"/>
    <col min="32" max="32" width="10.26953125" customWidth="1"/>
    <col min="33" max="33" width="11" customWidth="1"/>
  </cols>
  <sheetData>
    <row r="1" spans="1:40" ht="47" customHeight="1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40" s="1" customFormat="1" ht="21" customHeight="1">
      <c r="A2" s="16" t="s">
        <v>43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0" ht="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</row>
    <row r="4" spans="1:40" s="2" customFormat="1" ht="15.5">
      <c r="A4" s="5"/>
      <c r="B4" s="6"/>
      <c r="C4" s="6"/>
      <c r="D4" s="5"/>
      <c r="E4" s="6"/>
      <c r="F4" s="6"/>
      <c r="G4" s="6"/>
      <c r="H4" s="6">
        <f>IFERROR(ROUND(F4/E4*G4,2),0)</f>
        <v>0</v>
      </c>
      <c r="I4" s="6"/>
      <c r="J4" s="6"/>
      <c r="K4" s="6"/>
      <c r="L4" s="6"/>
      <c r="M4" s="6"/>
      <c r="N4" s="6">
        <f>SUM(H4:M4)</f>
        <v>0</v>
      </c>
      <c r="O4" s="6"/>
      <c r="P4" s="6"/>
      <c r="Q4" s="6"/>
      <c r="R4" s="6"/>
      <c r="S4" s="6">
        <f>N4+IFERROR(VLOOKUP(A4,'9月'!A:S,MATCH($S$3,'9月'!$A$3:$S$3,0),0),0)</f>
        <v>0</v>
      </c>
      <c r="T4" s="6">
        <f>SUM(O4:R4)+IFERROR(VLOOKUP(A4,'9月'!A:T,MATCH($T$3,'9月'!$A$3:$T$3,0),0),0)</f>
        <v>0</v>
      </c>
      <c r="U4" s="6"/>
      <c r="V4" s="6"/>
      <c r="W4" s="6"/>
      <c r="X4" s="6"/>
      <c r="Y4" s="6"/>
      <c r="Z4" s="6"/>
      <c r="AA4" s="6">
        <f>ROUND(MAX((S4-10*5000-T4-U4-V4-W4-X4-Y4-Z4)*{0.03;0.1;0.2;0.25;0.3;0.35;0.45}-{0;2520;16920;31920;52920;85920;181920},0),2)</f>
        <v>0</v>
      </c>
      <c r="AB4" s="6">
        <f>IFERROR(VLOOKUP(A4,'9月'!A:AA,MATCH($AA$3,'9月'!$A$3:$AA$3,0),0),0)</f>
        <v>0</v>
      </c>
      <c r="AC4" s="6">
        <f>AA4-AB4</f>
        <v>0</v>
      </c>
      <c r="AD4" s="6"/>
      <c r="AE4" s="6"/>
      <c r="AF4" s="6"/>
      <c r="AG4" s="6">
        <f>N4-O4-P4-Q4-R4-AC4-AD4-AE4-AF4</f>
        <v>0</v>
      </c>
    </row>
    <row r="5" spans="1:40" s="2" customFormat="1" ht="15.5">
      <c r="A5" s="5"/>
      <c r="B5" s="6"/>
      <c r="C5" s="6"/>
      <c r="D5" s="5"/>
      <c r="E5" s="6"/>
      <c r="F5" s="6"/>
      <c r="G5" s="6"/>
      <c r="H5" s="6">
        <f>IFERROR(ROUND(F5/E5*G5,2),0)</f>
        <v>0</v>
      </c>
      <c r="I5" s="6"/>
      <c r="J5" s="6"/>
      <c r="K5" s="6"/>
      <c r="L5" s="6"/>
      <c r="M5" s="6"/>
      <c r="N5" s="6">
        <f>SUM(H5:M5)</f>
        <v>0</v>
      </c>
      <c r="O5" s="6"/>
      <c r="P5" s="6"/>
      <c r="Q5" s="6"/>
      <c r="R5" s="6"/>
      <c r="S5" s="6">
        <f>N5+IFERROR(VLOOKUP(A5,'9月'!A:S,MATCH($S$3,'9月'!$A$3:$S$3,0),0),0)</f>
        <v>0</v>
      </c>
      <c r="T5" s="6">
        <f>SUM(O5:R5)+IFERROR(VLOOKUP(A5,'9月'!A:T,MATCH($T$3,'9月'!$A$3:$T$3,0),0),0)</f>
        <v>0</v>
      </c>
      <c r="U5" s="6"/>
      <c r="V5" s="6"/>
      <c r="W5" s="6"/>
      <c r="X5" s="6"/>
      <c r="Y5" s="6"/>
      <c r="Z5" s="6"/>
      <c r="AA5" s="6">
        <f>ROUND(MAX((S5-10*5000-T5-U5-V5-W5-X5-Y5-Z5)*{0.03;0.1;0.2;0.25;0.3;0.35;0.45}-{0;2520;16920;31920;52920;85920;181920},0),2)</f>
        <v>0</v>
      </c>
      <c r="AB5" s="6">
        <f>IFERROR(VLOOKUP(A5,'9月'!A:AA,MATCH($AA$3,'9月'!$A$3:$AA$3,0),0),0)</f>
        <v>0</v>
      </c>
      <c r="AC5" s="6">
        <f>AA5-AB5</f>
        <v>0</v>
      </c>
      <c r="AD5" s="6"/>
      <c r="AE5" s="6"/>
      <c r="AF5" s="6"/>
      <c r="AG5" s="6">
        <f>N5-O5-P5-Q5-R5-AC5-AD5-AE5-AF5</f>
        <v>0</v>
      </c>
    </row>
    <row r="6" spans="1:40" s="2" customFormat="1" ht="15.5">
      <c r="A6" s="5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40" s="2" customFormat="1" ht="15.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40" s="2" customFormat="1" ht="15.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40" s="2" customFormat="1" ht="15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40" s="2" customFormat="1" ht="15.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40" s="2" customFormat="1" ht="15.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40" s="2" customFormat="1" ht="15.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40" s="2" customFormat="1" ht="15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40" s="2" customFormat="1" ht="15.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40" ht="13">
      <c r="A15" s="7"/>
      <c r="B15" s="8"/>
      <c r="C15" s="8"/>
      <c r="D15" s="8"/>
      <c r="E15" s="6"/>
      <c r="F15" s="6"/>
      <c r="G15" s="8"/>
      <c r="H15" s="6"/>
      <c r="I15" s="6"/>
      <c r="J15" s="8"/>
      <c r="K15" s="8"/>
      <c r="L15" s="8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8"/>
      <c r="AE15" s="8"/>
      <c r="AF15" s="8"/>
      <c r="AG15" s="6"/>
    </row>
    <row r="16" spans="1:40" ht="13">
      <c r="A16" s="9"/>
      <c r="B16" s="10" t="s">
        <v>34</v>
      </c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11"/>
      <c r="P16" s="11"/>
      <c r="Q16" s="11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6"/>
    </row>
  </sheetData>
  <mergeCells count="2">
    <mergeCell ref="A1:R1"/>
    <mergeCell ref="A2:AN2"/>
  </mergeCells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workbookViewId="0">
      <selection sqref="A1:IV1"/>
    </sheetView>
  </sheetViews>
  <sheetFormatPr defaultColWidth="9.1796875" defaultRowHeight="12.5"/>
  <cols>
    <col min="4" max="4" width="11.26953125" customWidth="1"/>
    <col min="7" max="7" width="11" customWidth="1"/>
    <col min="8" max="8" width="12.1796875" customWidth="1"/>
    <col min="13" max="13" width="9.7265625" customWidth="1"/>
    <col min="14" max="14" width="11.7265625" customWidth="1"/>
    <col min="19" max="19" width="11.7265625" customWidth="1"/>
    <col min="20" max="21" width="14.453125" customWidth="1"/>
    <col min="22" max="22" width="17.54296875" customWidth="1"/>
    <col min="23" max="24" width="14.453125" customWidth="1"/>
    <col min="25" max="25" width="12.81640625" customWidth="1"/>
    <col min="26" max="26" width="18.453125" customWidth="1"/>
    <col min="27" max="27" width="12.1796875" customWidth="1"/>
    <col min="28" max="28" width="13.54296875" customWidth="1"/>
    <col min="29" max="29" width="12.7265625" customWidth="1"/>
    <col min="30" max="30" width="12" customWidth="1"/>
    <col min="31" max="31" width="13.26953125" customWidth="1"/>
    <col min="32" max="32" width="10.81640625" customWidth="1"/>
    <col min="33" max="33" width="11" customWidth="1"/>
  </cols>
  <sheetData>
    <row r="1" spans="1:40" ht="47" customHeight="1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40" s="1" customFormat="1" ht="21" customHeight="1">
      <c r="A2" s="16" t="s">
        <v>44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0" ht="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</row>
    <row r="4" spans="1:40" s="2" customFormat="1" ht="15.5">
      <c r="A4" s="5"/>
      <c r="B4" s="6"/>
      <c r="C4" s="6"/>
      <c r="D4" s="5"/>
      <c r="E4" s="6"/>
      <c r="F4" s="6"/>
      <c r="G4" s="6"/>
      <c r="H4" s="6">
        <f>IFERROR(ROUND(F4/E4*G4,2),0)</f>
        <v>0</v>
      </c>
      <c r="I4" s="6"/>
      <c r="J4" s="6"/>
      <c r="K4" s="6"/>
      <c r="L4" s="6"/>
      <c r="M4" s="6"/>
      <c r="N4" s="6">
        <f>SUM(H4:M4)</f>
        <v>0</v>
      </c>
      <c r="O4" s="6"/>
      <c r="P4" s="6"/>
      <c r="Q4" s="6"/>
      <c r="R4" s="6"/>
      <c r="S4" s="6">
        <f>N4+IFERROR(VLOOKUP(A4,'10月'!A:S,MATCH($S$3,'10月'!$A$3:$S$3,0),0),0)</f>
        <v>0</v>
      </c>
      <c r="T4" s="6">
        <f>SUM(O4:R4)+IFERROR(VLOOKUP(A4,'10月'!A:T,MATCH($T$3,'10月'!$A$3:$T$3,0),0),0)</f>
        <v>0</v>
      </c>
      <c r="U4" s="6"/>
      <c r="V4" s="6"/>
      <c r="W4" s="6"/>
      <c r="X4" s="6"/>
      <c r="Y4" s="6"/>
      <c r="Z4" s="6"/>
      <c r="AA4" s="6">
        <f>ROUND(MAX((S4-11*5000-T4-U4-V4-W4-X4-Y4-Z4)*{0.03;0.1;0.2;0.25;0.3;0.35;0.45}-{0;2520;16920;31920;52920;85920;181920},0),2)</f>
        <v>0</v>
      </c>
      <c r="AB4" s="6">
        <f>IFERROR(VLOOKUP(A4,'10月'!A:AA,MATCH($AA$3,'10月'!$A$3:$AA$3,0),0),0)</f>
        <v>0</v>
      </c>
      <c r="AC4" s="6">
        <f>AA4-AB4</f>
        <v>0</v>
      </c>
      <c r="AD4" s="6"/>
      <c r="AE4" s="6"/>
      <c r="AF4" s="6"/>
      <c r="AG4" s="6">
        <f>N4-O4-P4-Q4-R4-AC4-AD4-AE4-AF4</f>
        <v>0</v>
      </c>
    </row>
    <row r="5" spans="1:40" s="2" customFormat="1" ht="15.5">
      <c r="A5" s="5"/>
      <c r="B5" s="6"/>
      <c r="C5" s="6"/>
      <c r="D5" s="5"/>
      <c r="E5" s="6"/>
      <c r="F5" s="6"/>
      <c r="G5" s="6"/>
      <c r="H5" s="6">
        <f>IFERROR(ROUND(F5/E5*G5,2),0)</f>
        <v>0</v>
      </c>
      <c r="I5" s="6"/>
      <c r="J5" s="6"/>
      <c r="K5" s="6"/>
      <c r="L5" s="6"/>
      <c r="M5" s="6"/>
      <c r="N5" s="6">
        <f>SUM(H5:M5)</f>
        <v>0</v>
      </c>
      <c r="O5" s="6"/>
      <c r="P5" s="6"/>
      <c r="Q5" s="6"/>
      <c r="R5" s="6"/>
      <c r="S5" s="6">
        <f>N5+IFERROR(VLOOKUP(A5,'10月'!A:S,MATCH($S$3,'10月'!$A$3:$S$3,0),0),0)</f>
        <v>0</v>
      </c>
      <c r="T5" s="6">
        <f>SUM(O5:R5)+IFERROR(VLOOKUP(A5,'10月'!A:T,MATCH($T$3,'10月'!$A$3:$T$3,0),0),0)</f>
        <v>0</v>
      </c>
      <c r="U5" s="6"/>
      <c r="V5" s="6"/>
      <c r="W5" s="6"/>
      <c r="X5" s="6"/>
      <c r="Y5" s="6"/>
      <c r="Z5" s="6"/>
      <c r="AA5" s="6">
        <f>ROUND(MAX((S5-11*5000-T5-U5-V5-W5-X5-Y5-Z5)*{0.03;0.1;0.2;0.25;0.3;0.35;0.45}-{0;2520;16920;31920;52920;85920;181920},0),2)</f>
        <v>0</v>
      </c>
      <c r="AB5" s="6">
        <f>IFERROR(VLOOKUP(A5,'10月'!A:AA,MATCH($AA$3,'10月'!$A$3:$AA$3,0),0),0)</f>
        <v>0</v>
      </c>
      <c r="AC5" s="6">
        <f>AA5-AB5</f>
        <v>0</v>
      </c>
      <c r="AD5" s="6"/>
      <c r="AE5" s="6"/>
      <c r="AF5" s="6"/>
      <c r="AG5" s="6">
        <f>N5-O5-P5-Q5-R5-AC5-AD5-AE5-AF5</f>
        <v>0</v>
      </c>
    </row>
    <row r="6" spans="1:40" s="2" customFormat="1" ht="15.5">
      <c r="A6" s="5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40" s="2" customFormat="1" ht="15.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40" s="2" customFormat="1" ht="15.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40" s="2" customFormat="1" ht="15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40" s="2" customFormat="1" ht="15.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40" s="2" customFormat="1" ht="15.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40" s="2" customFormat="1" ht="15.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40" s="2" customFormat="1" ht="15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40" s="2" customFormat="1" ht="15.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40" ht="13">
      <c r="A15" s="7"/>
      <c r="B15" s="8"/>
      <c r="C15" s="8"/>
      <c r="D15" s="8"/>
      <c r="E15" s="6"/>
      <c r="F15" s="6"/>
      <c r="G15" s="8"/>
      <c r="H15" s="6"/>
      <c r="I15" s="6"/>
      <c r="J15" s="8"/>
      <c r="K15" s="8"/>
      <c r="L15" s="8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8"/>
      <c r="AE15" s="8"/>
      <c r="AF15" s="8"/>
      <c r="AG15" s="6"/>
    </row>
    <row r="16" spans="1:40" ht="13">
      <c r="A16" s="9"/>
      <c r="B16" s="10" t="s">
        <v>34</v>
      </c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11"/>
      <c r="P16" s="11"/>
      <c r="Q16" s="11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6"/>
    </row>
  </sheetData>
  <mergeCells count="2">
    <mergeCell ref="A1:R1"/>
    <mergeCell ref="A2:AN2"/>
  </mergeCells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4"/>
  <sheetViews>
    <sheetView tabSelected="1" workbookViewId="0">
      <selection activeCell="N3" sqref="N3"/>
    </sheetView>
  </sheetViews>
  <sheetFormatPr defaultColWidth="9.1796875" defaultRowHeight="12.5"/>
  <cols>
    <col min="4" max="4" width="10.81640625" customWidth="1"/>
    <col min="7" max="7" width="11" customWidth="1"/>
    <col min="8" max="8" width="12.1796875" customWidth="1"/>
    <col min="14" max="14" width="11.7265625" customWidth="1"/>
    <col min="19" max="19" width="12.81640625" customWidth="1"/>
    <col min="20" max="21" width="15.26953125" customWidth="1"/>
    <col min="22" max="22" width="15.81640625" customWidth="1"/>
    <col min="23" max="24" width="15.26953125" customWidth="1"/>
    <col min="25" max="25" width="13.54296875" customWidth="1"/>
    <col min="26" max="26" width="18.7265625" customWidth="1"/>
    <col min="27" max="27" width="14.7265625" customWidth="1"/>
    <col min="28" max="28" width="13.7265625" customWidth="1"/>
    <col min="29" max="29" width="12.7265625" customWidth="1"/>
    <col min="30" max="30" width="11.54296875" customWidth="1"/>
    <col min="31" max="31" width="13.26953125" customWidth="1"/>
    <col min="32" max="32" width="10.26953125" customWidth="1"/>
    <col min="33" max="33" width="11" customWidth="1"/>
  </cols>
  <sheetData>
    <row r="1" spans="1:40" ht="47" customHeight="1">
      <c r="A1" s="14" t="s">
        <v>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40" s="1" customFormat="1" ht="21" customHeight="1">
      <c r="A2" s="16" t="s">
        <v>45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 spans="1:40" ht="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47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</row>
    <row r="4" spans="1:40" s="2" customFormat="1" ht="15.5">
      <c r="A4" s="5"/>
      <c r="B4" s="6"/>
      <c r="C4" s="6"/>
      <c r="D4" s="5"/>
      <c r="E4" s="6"/>
      <c r="F4" s="6"/>
      <c r="G4" s="6"/>
      <c r="H4" s="6">
        <f>IFERROR(ROUND(F4/E4*G4,2),0)</f>
        <v>0</v>
      </c>
      <c r="I4" s="6"/>
      <c r="J4" s="6"/>
      <c r="K4" s="6"/>
      <c r="L4" s="6"/>
      <c r="M4" s="6"/>
      <c r="N4" s="6">
        <f>SUM(H4:M4)</f>
        <v>0</v>
      </c>
      <c r="O4" s="6"/>
      <c r="P4" s="6"/>
      <c r="Q4" s="6"/>
      <c r="R4" s="6"/>
      <c r="S4" s="6">
        <f>N4+IFERROR(VLOOKUP(A4,'11月'!A:S,MATCH($S$3,'11月'!$A$3:$S$3,0),0),0)</f>
        <v>0</v>
      </c>
      <c r="T4" s="6">
        <f>SUM(O4:R4)+IFERROR(VLOOKUP(A4,'11月'!A:T,MATCH($T$3,'11月'!$A$3:$T$3,0),0),0)</f>
        <v>0</v>
      </c>
      <c r="U4" s="6"/>
      <c r="V4" s="6"/>
      <c r="W4" s="6"/>
      <c r="X4" s="6"/>
      <c r="Y4" s="6"/>
      <c r="Z4" s="6"/>
      <c r="AA4" s="6">
        <f>ROUND(MAX((S4-12*5000-T4-U4-V4-W4-X4-Y4-Z4)*{0.03;0.1;0.2;0.25;0.3;0.35;0.45}-{0;2520;16920;31920;52920;85920;181920},0),2)</f>
        <v>0</v>
      </c>
      <c r="AB4" s="6">
        <f>IFERROR(VLOOKUP(A4,'11月'!A:AA,MATCH($AA$3,'11月'!$A$3:$AA$3,0),0),0)</f>
        <v>0</v>
      </c>
      <c r="AC4" s="6">
        <f>AA4-AB4</f>
        <v>0</v>
      </c>
      <c r="AD4" s="6"/>
      <c r="AE4" s="6"/>
      <c r="AF4" s="6"/>
      <c r="AG4" s="6">
        <f>N4-O4-P4-Q4-R4-AC4-AD4-AE4-AF4</f>
        <v>0</v>
      </c>
    </row>
    <row r="5" spans="1:40" s="2" customFormat="1" ht="15.5">
      <c r="A5" s="5"/>
      <c r="B5" s="6"/>
      <c r="C5" s="6"/>
      <c r="D5" s="5"/>
      <c r="E5" s="6"/>
      <c r="F5" s="6"/>
      <c r="G5" s="6"/>
      <c r="H5" s="6">
        <f>IFERROR(ROUND(F5/E5*G5,2),0)</f>
        <v>0</v>
      </c>
      <c r="I5" s="6"/>
      <c r="J5" s="6"/>
      <c r="K5" s="6"/>
      <c r="L5" s="6"/>
      <c r="M5" s="6"/>
      <c r="N5" s="6">
        <f>SUM(H5:M5)</f>
        <v>0</v>
      </c>
      <c r="O5" s="6"/>
      <c r="P5" s="6"/>
      <c r="Q5" s="6"/>
      <c r="R5" s="6"/>
      <c r="S5" s="6">
        <f>N5+IFERROR(VLOOKUP(A5,'11月'!A:S,MATCH($S$3,'11月'!$A$3:$S$3,0),0),0)</f>
        <v>0</v>
      </c>
      <c r="T5" s="6">
        <f>SUM(O5:R5)+IFERROR(VLOOKUP(A5,'11月'!A:T,MATCH($T$3,'11月'!$A$3:$T$3,0),0),0)</f>
        <v>0</v>
      </c>
      <c r="U5" s="6"/>
      <c r="V5" s="6"/>
      <c r="W5" s="6"/>
      <c r="X5" s="6"/>
      <c r="Y5" s="6"/>
      <c r="Z5" s="6"/>
      <c r="AA5" s="6">
        <f>ROUND(MAX((S5-12*5000-T5-U5-V5-W5-X5-Y5-Z5)*{0.03;0.1;0.2;0.25;0.3;0.35;0.45}-{0;2520;16920;31920;52920;85920;181920},0),2)</f>
        <v>0</v>
      </c>
      <c r="AB5" s="6">
        <f>IFERROR(VLOOKUP(A5,'11月'!A:AA,MATCH($AA$3,'11月'!$A$3:$AA$3,0),0),0)</f>
        <v>0</v>
      </c>
      <c r="AC5" s="6">
        <f>AA5-AB5</f>
        <v>0</v>
      </c>
      <c r="AD5" s="6"/>
      <c r="AE5" s="6"/>
      <c r="AF5" s="6"/>
      <c r="AG5" s="6">
        <f>N5-O5-P5-Q5-R5-AC5-AD5-AE5-AF5</f>
        <v>0</v>
      </c>
    </row>
    <row r="6" spans="1:40" s="2" customFormat="1" ht="15.5">
      <c r="A6" s="5"/>
      <c r="B6" s="6"/>
      <c r="C6" s="6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40" s="2" customFormat="1" ht="15.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40" s="2" customFormat="1" ht="15.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40" s="2" customFormat="1" ht="15.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40" s="2" customFormat="1" ht="15.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40" s="2" customFormat="1" ht="15.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40" s="2" customFormat="1" ht="15.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40" s="2" customFormat="1" ht="15.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40" s="2" customFormat="1" ht="15.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40" ht="13">
      <c r="A15" s="7"/>
      <c r="B15" s="8"/>
      <c r="C15" s="8"/>
      <c r="D15" s="8"/>
      <c r="E15" s="6"/>
      <c r="F15" s="6"/>
      <c r="G15" s="8"/>
      <c r="H15" s="6"/>
      <c r="I15" s="6"/>
      <c r="J15" s="8"/>
      <c r="K15" s="8"/>
      <c r="L15" s="8"/>
      <c r="M15" s="8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8"/>
      <c r="AE15" s="8"/>
      <c r="AF15" s="8"/>
      <c r="AG15" s="6"/>
    </row>
    <row r="16" spans="1:40" ht="13">
      <c r="A16" s="9"/>
      <c r="B16" s="10" t="s">
        <v>34</v>
      </c>
      <c r="C16" s="10"/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6"/>
      <c r="O16" s="11"/>
      <c r="P16" s="11"/>
      <c r="Q16" s="11"/>
      <c r="R16" s="11"/>
      <c r="S16" s="6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6"/>
    </row>
    <row r="32" spans="2:1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2:1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2:1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</sheetData>
  <mergeCells count="2">
    <mergeCell ref="A1:R1"/>
    <mergeCell ref="A2:AN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王黎</dc:creator>
  <cp:lastModifiedBy>W卫梦瑶</cp:lastModifiedBy>
  <dcterms:created xsi:type="dcterms:W3CDTF">2016-10-13T06:38:10Z</dcterms:created>
  <dcterms:modified xsi:type="dcterms:W3CDTF">2024-06-29T08:17:05Z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76902E050D8C4A7299FE0D3882E3D190</vt:lpwstr>
  </property>
  <property fmtid="{D5CDD505-2E9C-101B-9397-08002B2CF9AE}" pid="3" name="KSOProductBuildVer">
    <vt:lpwstr>2052-11.1.0.11744</vt:lpwstr>
  </property>
</Properties>
</file>